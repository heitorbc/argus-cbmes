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K:\2026\PESSOAL(Escalas, Efetivo)\Escala Especial Tabela de Lançamento\"/>
    </mc:Choice>
  </mc:AlternateContent>
  <xr:revisionPtr revIDLastSave="0" documentId="13_ncr:1_{CC86822D-6B9C-4311-818C-F2FC103DB151}" xr6:coauthVersionLast="47" xr6:coauthVersionMax="47" xr10:uidLastSave="{00000000-0000-0000-0000-000000000000}"/>
  <bookViews>
    <workbookView xWindow="28680" yWindow="-120" windowWidth="29040" windowHeight="15840" tabRatio="601" firstSheet="6" activeTab="6" xr2:uid="{00000000-000D-0000-FFFF-FFFF00000000}"/>
  </bookViews>
  <sheets>
    <sheet name="PRONTIDÃO" sheetId="92" state="hidden" r:id="rId1"/>
    <sheet name="ESCALA  ORIGINAL " sheetId="94" state="hidden" r:id="rId2"/>
    <sheet name="Plan2" sheetId="95" state="hidden" r:id="rId3"/>
    <sheet name="PRONTIDÃO DGP RH " sheetId="85" state="hidden" r:id="rId4"/>
    <sheet name="AUTOTANQUE" sheetId="88" state="hidden" r:id="rId5"/>
    <sheet name="Plan1" sheetId="89" state="hidden" r:id="rId6"/>
    <sheet name="ESCALA CONTROLE DRH" sheetId="109" r:id="rId7"/>
    <sheet name="EFETIVO" sheetId="112" r:id="rId8"/>
    <sheet name="ALMOX, MERG, SALVAMAR" sheetId="91" r:id="rId9"/>
    <sheet name="Modelo Aviso - Especial" sheetId="108" r:id="rId10"/>
    <sheet name="PDF" sheetId="110" state="hidden" r:id="rId11"/>
    <sheet name="Plan3" sheetId="111" state="hidden" r:id="rId12"/>
  </sheets>
  <definedNames>
    <definedName name="_xlnm._FilterDatabase" localSheetId="7" hidden="1">EFETIVO!$A$1:$D$112</definedName>
    <definedName name="_xlnm._FilterDatabase" localSheetId="6" hidden="1">'ESCALA CONTROLE DRH'!$A$6:$E$106</definedName>
    <definedName name="_xlnm.Print_Area" localSheetId="8">'ALMOX, MERG, SALVAMAR'!$A$1:$BF$68</definedName>
    <definedName name="_xlnm.Print_Area" localSheetId="1">'ESCALA  ORIGINAL '!$A$1:$AI$66</definedName>
    <definedName name="_xlnm.Print_Area" localSheetId="0">PRONTIDÃO!$A$2:$AF$61</definedName>
    <definedName name="_xlnm.Print_Area" localSheetId="3">'PRONTIDÃO DGP RH '!$A$1:$AI$62</definedName>
  </definedNames>
  <calcPr calcId="181029"/>
</workbook>
</file>

<file path=xl/calcChain.xml><?xml version="1.0" encoding="utf-8"?>
<calcChain xmlns="http://schemas.openxmlformats.org/spreadsheetml/2006/main">
  <c r="B107" i="109" l="1"/>
  <c r="C99" i="109"/>
  <c r="C100" i="109"/>
  <c r="B99" i="109"/>
  <c r="B100" i="109"/>
  <c r="C97" i="109"/>
  <c r="C98" i="109"/>
  <c r="C101" i="109"/>
  <c r="C102" i="109"/>
  <c r="C103" i="109"/>
  <c r="C104" i="109"/>
  <c r="C105" i="109"/>
  <c r="C106" i="109"/>
  <c r="C107" i="109"/>
  <c r="C95" i="109"/>
  <c r="C84" i="109"/>
  <c r="C8" i="109"/>
  <c r="C46" i="109"/>
  <c r="C9" i="109"/>
  <c r="C11" i="109"/>
  <c r="C12" i="109"/>
  <c r="C13" i="109"/>
  <c r="C14" i="109"/>
  <c r="C15" i="109"/>
  <c r="C17" i="109"/>
  <c r="C18" i="109"/>
  <c r="C19" i="109"/>
  <c r="C65" i="109"/>
  <c r="C20" i="109"/>
  <c r="C21" i="109"/>
  <c r="C61" i="109"/>
  <c r="C22" i="109"/>
  <c r="C23" i="109"/>
  <c r="C24" i="109"/>
  <c r="C25" i="109"/>
  <c r="C26" i="109"/>
  <c r="C28" i="109"/>
  <c r="C53" i="109"/>
  <c r="C29" i="109"/>
  <c r="C31" i="109"/>
  <c r="C32" i="109"/>
  <c r="C33" i="109"/>
  <c r="C34" i="109"/>
  <c r="C35" i="109"/>
  <c r="C36" i="109"/>
  <c r="C37" i="109"/>
  <c r="C38" i="109"/>
  <c r="C27" i="109"/>
  <c r="C39" i="109"/>
  <c r="C40" i="109"/>
  <c r="C41" i="109"/>
  <c r="C42" i="109"/>
  <c r="C43" i="109"/>
  <c r="C44" i="109"/>
  <c r="C45" i="109"/>
  <c r="C47" i="109"/>
  <c r="C48" i="109"/>
  <c r="C49" i="109"/>
  <c r="C50" i="109"/>
  <c r="C51" i="109"/>
  <c r="C52" i="109"/>
  <c r="C16" i="109"/>
  <c r="C54" i="109"/>
  <c r="C55" i="109"/>
  <c r="C56" i="109"/>
  <c r="C57" i="109"/>
  <c r="C30" i="109"/>
  <c r="C96" i="109"/>
  <c r="C58" i="109"/>
  <c r="C59" i="109"/>
  <c r="C60" i="109"/>
  <c r="C62" i="109"/>
  <c r="C63" i="109"/>
  <c r="C64" i="109"/>
  <c r="C66" i="109"/>
  <c r="C67" i="109"/>
  <c r="C10" i="109"/>
  <c r="C68" i="109"/>
  <c r="C69" i="109"/>
  <c r="C70" i="109"/>
  <c r="C71" i="109"/>
  <c r="C72" i="109"/>
  <c r="C73" i="109"/>
  <c r="C74" i="109"/>
  <c r="C75" i="109"/>
  <c r="C76" i="109"/>
  <c r="C77" i="109"/>
  <c r="C78" i="109"/>
  <c r="C79" i="109"/>
  <c r="C80" i="109"/>
  <c r="C81" i="109"/>
  <c r="C82" i="109"/>
  <c r="C83" i="109"/>
  <c r="C85" i="109"/>
  <c r="C86" i="109"/>
  <c r="C87" i="109"/>
  <c r="C88" i="109"/>
  <c r="C89" i="109"/>
  <c r="C90" i="109"/>
  <c r="C91" i="109"/>
  <c r="C92" i="109"/>
  <c r="C93" i="109"/>
  <c r="C94" i="109"/>
  <c r="A8" i="109"/>
  <c r="A46" i="109"/>
  <c r="A9" i="109"/>
  <c r="A11" i="109"/>
  <c r="A12" i="109"/>
  <c r="A13" i="109"/>
  <c r="A14" i="109"/>
  <c r="A15" i="109"/>
  <c r="A17" i="109"/>
  <c r="A18" i="109"/>
  <c r="A19" i="109"/>
  <c r="A65" i="109"/>
  <c r="A20" i="109"/>
  <c r="A21" i="109"/>
  <c r="A61" i="109"/>
  <c r="A22" i="109"/>
  <c r="A23" i="109"/>
  <c r="A24" i="109"/>
  <c r="A25" i="109"/>
  <c r="A26" i="109"/>
  <c r="A28" i="109"/>
  <c r="A53" i="109"/>
  <c r="A29" i="109"/>
  <c r="A31" i="109"/>
  <c r="A32" i="109"/>
  <c r="A33" i="109"/>
  <c r="A34" i="109"/>
  <c r="A35" i="109"/>
  <c r="A36" i="109"/>
  <c r="A37" i="109"/>
  <c r="A38" i="109"/>
  <c r="A27" i="109"/>
  <c r="A39" i="109"/>
  <c r="A40" i="109"/>
  <c r="A41" i="109"/>
  <c r="A42" i="109"/>
  <c r="A43" i="109"/>
  <c r="A44" i="109"/>
  <c r="A45" i="109"/>
  <c r="A47" i="109"/>
  <c r="A48" i="109"/>
  <c r="A49" i="109"/>
  <c r="A50" i="109"/>
  <c r="A51" i="109"/>
  <c r="A52" i="109"/>
  <c r="A16" i="109"/>
  <c r="A54" i="109"/>
  <c r="A55" i="109"/>
  <c r="A56" i="109"/>
  <c r="A57" i="109"/>
  <c r="A30" i="109"/>
  <c r="A96" i="109"/>
  <c r="A58" i="109"/>
  <c r="A59" i="109"/>
  <c r="A60" i="109"/>
  <c r="A62" i="109"/>
  <c r="A63" i="109"/>
  <c r="A64" i="109"/>
  <c r="A66" i="109"/>
  <c r="A67" i="109"/>
  <c r="A10" i="109"/>
  <c r="A68" i="109"/>
  <c r="A69" i="109"/>
  <c r="A70" i="109"/>
  <c r="A71" i="109"/>
  <c r="A72" i="109"/>
  <c r="A73" i="109"/>
  <c r="A74" i="109"/>
  <c r="A75" i="109"/>
  <c r="A76" i="109"/>
  <c r="A77" i="109"/>
  <c r="A78" i="109"/>
  <c r="A79" i="109"/>
  <c r="A80" i="109"/>
  <c r="A81" i="109"/>
  <c r="A82" i="109"/>
  <c r="A83" i="109"/>
  <c r="A85" i="109"/>
  <c r="A86" i="109"/>
  <c r="A87" i="109"/>
  <c r="A88" i="109"/>
  <c r="A89" i="109"/>
  <c r="A90" i="109"/>
  <c r="A91" i="109"/>
  <c r="A92" i="109"/>
  <c r="A93" i="109"/>
  <c r="A94" i="109"/>
  <c r="A84" i="109"/>
  <c r="A95" i="109"/>
  <c r="A97" i="109"/>
  <c r="A98" i="109"/>
  <c r="A99" i="109"/>
  <c r="A100" i="109"/>
  <c r="A101" i="109"/>
  <c r="A102" i="109"/>
  <c r="A103" i="109"/>
  <c r="A104" i="109"/>
  <c r="A105" i="109"/>
  <c r="A106" i="109"/>
  <c r="A7" i="109"/>
  <c r="B8" i="109"/>
  <c r="B46" i="109"/>
  <c r="B9" i="109"/>
  <c r="B11" i="109"/>
  <c r="B12" i="109"/>
  <c r="B13" i="109"/>
  <c r="B14" i="109"/>
  <c r="B15" i="109"/>
  <c r="B17" i="109"/>
  <c r="B18" i="109"/>
  <c r="B19" i="109"/>
  <c r="B65" i="109"/>
  <c r="B20" i="109"/>
  <c r="B21" i="109"/>
  <c r="B61" i="109"/>
  <c r="B22" i="109"/>
  <c r="B23" i="109"/>
  <c r="B24" i="109"/>
  <c r="B25" i="109"/>
  <c r="B26" i="109"/>
  <c r="B28" i="109"/>
  <c r="B53" i="109"/>
  <c r="B29" i="109"/>
  <c r="B31" i="109"/>
  <c r="B32" i="109"/>
  <c r="B33" i="109"/>
  <c r="B34" i="109"/>
  <c r="B35" i="109"/>
  <c r="B36" i="109"/>
  <c r="B37" i="109"/>
  <c r="B38" i="109"/>
  <c r="B27" i="109"/>
  <c r="B39" i="109"/>
  <c r="B40" i="109"/>
  <c r="B41" i="109"/>
  <c r="B42" i="109"/>
  <c r="B43" i="109"/>
  <c r="B44" i="109"/>
  <c r="B45" i="109"/>
  <c r="B47" i="109"/>
  <c r="B48" i="109"/>
  <c r="B49" i="109"/>
  <c r="B50" i="109"/>
  <c r="B51" i="109"/>
  <c r="B52" i="109"/>
  <c r="B16" i="109"/>
  <c r="B54" i="109"/>
  <c r="B55" i="109"/>
  <c r="B56" i="109"/>
  <c r="B57" i="109"/>
  <c r="B30" i="109"/>
  <c r="B96" i="109"/>
  <c r="B58" i="109"/>
  <c r="B59" i="109"/>
  <c r="B60" i="109"/>
  <c r="B62" i="109"/>
  <c r="B63" i="109"/>
  <c r="B64" i="109"/>
  <c r="B66" i="109"/>
  <c r="B67" i="109"/>
  <c r="B10" i="109"/>
  <c r="B68" i="109"/>
  <c r="B69" i="109"/>
  <c r="B70" i="109"/>
  <c r="B71" i="109"/>
  <c r="B72" i="109"/>
  <c r="B73" i="109"/>
  <c r="B74" i="109"/>
  <c r="B75" i="109"/>
  <c r="B76" i="109"/>
  <c r="B77" i="109"/>
  <c r="B78" i="109"/>
  <c r="B79" i="109"/>
  <c r="B80" i="109"/>
  <c r="B81" i="109"/>
  <c r="B82" i="109"/>
  <c r="B83" i="109"/>
  <c r="B85" i="109"/>
  <c r="B86" i="109"/>
  <c r="B87" i="109"/>
  <c r="B88" i="109"/>
  <c r="B89" i="109"/>
  <c r="B90" i="109"/>
  <c r="B91" i="109"/>
  <c r="B92" i="109"/>
  <c r="B93" i="109"/>
  <c r="B94" i="109"/>
  <c r="B84" i="109"/>
  <c r="B95" i="109"/>
  <c r="B97" i="109"/>
  <c r="B98" i="109"/>
  <c r="B101" i="109"/>
  <c r="B102" i="109"/>
  <c r="B103" i="109"/>
  <c r="B104" i="109"/>
  <c r="B105" i="109"/>
  <c r="B106" i="109"/>
  <c r="B7" i="109"/>
  <c r="F2" i="112"/>
  <c r="F3" i="112"/>
  <c r="F4" i="112"/>
  <c r="F5" i="112"/>
  <c r="F48" i="112"/>
  <c r="F111" i="112"/>
  <c r="F7" i="112"/>
  <c r="F8" i="112"/>
  <c r="F9" i="112"/>
  <c r="F10" i="112"/>
  <c r="F11" i="112"/>
  <c r="F12" i="112"/>
  <c r="F13" i="112"/>
  <c r="F14" i="112"/>
  <c r="F15" i="112"/>
  <c r="F16" i="112"/>
  <c r="F17" i="112"/>
  <c r="F18" i="112"/>
  <c r="F19" i="112"/>
  <c r="F20" i="112"/>
  <c r="F21" i="112"/>
  <c r="F22" i="112"/>
  <c r="F23" i="112"/>
  <c r="F24" i="112"/>
  <c r="F25" i="112"/>
  <c r="F26" i="112"/>
  <c r="F27" i="112"/>
  <c r="F28" i="112"/>
  <c r="F29" i="112"/>
  <c r="F30" i="112"/>
  <c r="F31" i="112"/>
  <c r="F32" i="112"/>
  <c r="F33" i="112"/>
  <c r="F34" i="112"/>
  <c r="F35" i="112"/>
  <c r="F36" i="112"/>
  <c r="F37" i="112"/>
  <c r="F38" i="112"/>
  <c r="F39" i="112"/>
  <c r="F40" i="112"/>
  <c r="F41" i="112"/>
  <c r="F42" i="112"/>
  <c r="F43" i="112"/>
  <c r="F44" i="112"/>
  <c r="F45" i="112"/>
  <c r="F46" i="112"/>
  <c r="F47" i="112"/>
  <c r="F49" i="112"/>
  <c r="F50" i="112"/>
  <c r="F51" i="112"/>
  <c r="F52" i="112"/>
  <c r="F53" i="112"/>
  <c r="F54" i="112"/>
  <c r="F55" i="112"/>
  <c r="F56" i="112"/>
  <c r="F57" i="112"/>
  <c r="F58" i="112"/>
  <c r="F60" i="112"/>
  <c r="F61" i="112"/>
  <c r="F62" i="112"/>
  <c r="F63" i="112"/>
  <c r="F64" i="112"/>
  <c r="F65" i="112"/>
  <c r="F66" i="112"/>
  <c r="F67" i="112"/>
  <c r="F68" i="112"/>
  <c r="F69" i="112"/>
  <c r="F70" i="112"/>
  <c r="F71" i="112"/>
  <c r="F72" i="112"/>
  <c r="F73" i="112"/>
  <c r="F74" i="112"/>
  <c r="F75" i="112"/>
  <c r="F76" i="112"/>
  <c r="F77" i="112"/>
  <c r="F78" i="112"/>
  <c r="F79" i="112"/>
  <c r="F80" i="112"/>
  <c r="F81" i="112"/>
  <c r="F82" i="112"/>
  <c r="F83" i="112"/>
  <c r="F84" i="112"/>
  <c r="F85" i="112"/>
  <c r="F86" i="112"/>
  <c r="F87" i="112"/>
  <c r="F88" i="112"/>
  <c r="F89" i="112"/>
  <c r="F90" i="112"/>
  <c r="F91" i="112"/>
  <c r="F92" i="112"/>
  <c r="F93" i="112"/>
  <c r="F94" i="112"/>
  <c r="F95" i="112"/>
  <c r="F97" i="112"/>
  <c r="F98" i="112"/>
  <c r="F99" i="112"/>
  <c r="F100" i="112"/>
  <c r="F101" i="112"/>
  <c r="F102" i="112"/>
  <c r="F103" i="112"/>
  <c r="F104" i="112"/>
  <c r="F105" i="112"/>
  <c r="F106" i="112"/>
  <c r="F107" i="112"/>
  <c r="F108" i="112"/>
  <c r="F109" i="112"/>
  <c r="F110" i="112"/>
  <c r="F112" i="112"/>
  <c r="F113" i="112"/>
  <c r="F114" i="112"/>
  <c r="F115" i="112"/>
  <c r="F116" i="112"/>
  <c r="F117" i="112"/>
  <c r="F118" i="112"/>
  <c r="F119" i="112"/>
  <c r="F120" i="112"/>
  <c r="F121" i="112"/>
  <c r="F122" i="112"/>
  <c r="F123" i="112"/>
  <c r="F124" i="112"/>
  <c r="F125" i="112"/>
  <c r="F126" i="112"/>
  <c r="F127" i="112"/>
  <c r="F128" i="112"/>
  <c r="F129" i="112"/>
  <c r="F130" i="112"/>
  <c r="F131" i="112"/>
  <c r="F6" i="112" l="1"/>
  <c r="C7" i="109" l="1"/>
  <c r="F2" i="109"/>
  <c r="AI6" i="109"/>
  <c r="AJ6" i="109" l="1"/>
  <c r="AJ2" i="109" s="1"/>
  <c r="A2" i="109"/>
  <c r="AI2" i="109" l="1"/>
  <c r="G6" i="109"/>
  <c r="H6" i="109" s="1"/>
  <c r="I6" i="109" s="1"/>
  <c r="J6" i="109" s="1"/>
  <c r="K6" i="109" s="1"/>
  <c r="L6" i="109" s="1"/>
  <c r="M6" i="109" s="1"/>
  <c r="N6" i="109" s="1"/>
  <c r="O6" i="109" s="1"/>
  <c r="P6" i="109" s="1"/>
  <c r="Q6" i="109" s="1"/>
  <c r="R6" i="109" s="1"/>
  <c r="S6" i="109" s="1"/>
  <c r="T6" i="109" s="1"/>
  <c r="U6" i="109" s="1"/>
  <c r="V6" i="109" s="1"/>
  <c r="W6" i="109" s="1"/>
  <c r="X6" i="109" s="1"/>
  <c r="Y6" i="109" s="1"/>
  <c r="Z6" i="109" s="1"/>
  <c r="AA6" i="109" s="1"/>
  <c r="AB6" i="109" s="1"/>
  <c r="AC6" i="109" s="1"/>
  <c r="AD6" i="109" s="1"/>
  <c r="AE6" i="109" s="1"/>
  <c r="AF6" i="109" s="1"/>
  <c r="AG6" i="109" s="1"/>
  <c r="AH6" i="109" s="1"/>
  <c r="F5" i="109"/>
  <c r="G5" i="109" s="1"/>
  <c r="H5" i="109" s="1"/>
  <c r="I5" i="109" s="1"/>
  <c r="J5" i="109" s="1"/>
  <c r="K5" i="109" s="1"/>
  <c r="L5" i="109" s="1"/>
  <c r="F4" i="109"/>
  <c r="G4" i="109" s="1"/>
  <c r="H4" i="109" s="1"/>
  <c r="I4" i="109" s="1"/>
  <c r="J4" i="109" s="1"/>
  <c r="K4" i="109" s="1"/>
  <c r="L4" i="109" s="1"/>
  <c r="M4" i="109" s="1"/>
  <c r="N4" i="109" s="1"/>
  <c r="O4" i="109" s="1"/>
  <c r="P4" i="109" s="1"/>
  <c r="Q4" i="109" s="1"/>
  <c r="R4" i="109" s="1"/>
  <c r="S4" i="109" s="1"/>
  <c r="T4" i="109" s="1"/>
  <c r="U4" i="109" s="1"/>
  <c r="V4" i="109" s="1"/>
  <c r="W4" i="109" s="1"/>
  <c r="X4" i="109" s="1"/>
  <c r="Y4" i="109" s="1"/>
  <c r="Z4" i="109" s="1"/>
  <c r="AA4" i="109" s="1"/>
  <c r="AB4" i="109" s="1"/>
  <c r="AC4" i="109" s="1"/>
  <c r="AD4" i="109" s="1"/>
  <c r="AE4" i="109" s="1"/>
  <c r="AF4" i="109" s="1"/>
  <c r="AG4" i="109" s="1"/>
  <c r="AH4" i="109" s="1"/>
  <c r="AI4" i="109" s="1"/>
  <c r="AJ4" i="109" s="1"/>
  <c r="F3" i="109"/>
  <c r="G3" i="109" s="1"/>
  <c r="H3" i="109" s="1"/>
  <c r="I3" i="109" s="1"/>
  <c r="J3" i="109" s="1"/>
  <c r="K3" i="109" s="1"/>
  <c r="L3" i="109" s="1"/>
  <c r="M3" i="109" s="1"/>
  <c r="N3" i="109" s="1"/>
  <c r="O3" i="109" s="1"/>
  <c r="P3" i="109" s="1"/>
  <c r="Q3" i="109" s="1"/>
  <c r="R3" i="109" s="1"/>
  <c r="S3" i="109" s="1"/>
  <c r="T3" i="109" s="1"/>
  <c r="U3" i="109" s="1"/>
  <c r="V3" i="109" s="1"/>
  <c r="W3" i="109" s="1"/>
  <c r="X3" i="109" s="1"/>
  <c r="Y3" i="109" s="1"/>
  <c r="Z3" i="109" s="1"/>
  <c r="AA3" i="109" s="1"/>
  <c r="AB3" i="109" s="1"/>
  <c r="AC3" i="109" s="1"/>
  <c r="AD3" i="109" s="1"/>
  <c r="AE3" i="109" s="1"/>
  <c r="AF3" i="109" s="1"/>
  <c r="AG3" i="109" s="1"/>
  <c r="AH3" i="109" s="1"/>
  <c r="AI3" i="109" s="1"/>
  <c r="AJ3" i="109" s="1"/>
  <c r="AA2" i="109" l="1"/>
  <c r="AC2" i="109"/>
  <c r="K2" i="109"/>
  <c r="M2" i="109"/>
  <c r="P2" i="109"/>
  <c r="AF2" i="109"/>
  <c r="AG2" i="109"/>
  <c r="S2" i="109"/>
  <c r="U2" i="109"/>
  <c r="X2" i="109"/>
  <c r="Q2" i="109"/>
  <c r="H2" i="109"/>
  <c r="I2" i="109"/>
  <c r="Y2" i="109"/>
  <c r="N2" i="109"/>
  <c r="V2" i="109"/>
  <c r="AD2" i="109"/>
  <c r="G2" i="109"/>
  <c r="O2" i="109"/>
  <c r="W2" i="109"/>
  <c r="AE2" i="109"/>
  <c r="J2" i="109"/>
  <c r="R2" i="109"/>
  <c r="Z2" i="109"/>
  <c r="L2" i="109"/>
  <c r="T2" i="109"/>
  <c r="AB2" i="109"/>
  <c r="AH2" i="109"/>
  <c r="M5" i="109"/>
  <c r="N5" i="109" s="1"/>
  <c r="O5" i="109" s="1"/>
  <c r="P5" i="109" s="1"/>
  <c r="Q5" i="109" s="1"/>
  <c r="R5" i="109" s="1"/>
  <c r="S5" i="109" s="1"/>
  <c r="T5" i="109" s="1"/>
  <c r="U5" i="109" s="1"/>
  <c r="V5" i="109" s="1"/>
  <c r="W5" i="109" s="1"/>
  <c r="X5" i="109" s="1"/>
  <c r="Y5" i="109" s="1"/>
  <c r="Z5" i="109" s="1"/>
  <c r="AA5" i="109" s="1"/>
  <c r="AB5" i="109" s="1"/>
  <c r="AC5" i="109" s="1"/>
  <c r="AD5" i="109" s="1"/>
  <c r="AE5" i="109" s="1"/>
  <c r="AF5" i="109" s="1"/>
  <c r="AG5" i="109" s="1"/>
  <c r="AH5" i="109" s="1"/>
  <c r="AI5" i="109" s="1"/>
  <c r="AJ5" i="109" s="1"/>
  <c r="F57" i="91"/>
  <c r="F56" i="91" s="1"/>
  <c r="G57" i="91"/>
  <c r="G56" i="91" s="1"/>
  <c r="H57" i="91"/>
  <c r="H56" i="91" s="1"/>
  <c r="I57" i="91"/>
  <c r="I56" i="91" s="1"/>
  <c r="J57" i="91"/>
  <c r="J56" i="91" s="1"/>
  <c r="K57" i="91"/>
  <c r="K56" i="91" s="1"/>
  <c r="L57" i="91"/>
  <c r="L56" i="91" s="1"/>
  <c r="M57" i="91"/>
  <c r="M56" i="91" s="1"/>
  <c r="N57" i="91"/>
  <c r="N56" i="91" s="1"/>
  <c r="O57" i="91"/>
  <c r="O56" i="91" s="1"/>
  <c r="P57" i="91"/>
  <c r="P56" i="91" s="1"/>
  <c r="Q57" i="91"/>
  <c r="Q56" i="91" s="1"/>
  <c r="R57" i="91"/>
  <c r="R56" i="91" s="1"/>
  <c r="S57" i="91"/>
  <c r="S56" i="91" s="1"/>
  <c r="T57" i="91"/>
  <c r="T56" i="91" s="1"/>
  <c r="U57" i="91"/>
  <c r="U56" i="91" s="1"/>
  <c r="V57" i="91"/>
  <c r="V56" i="91" s="1"/>
  <c r="W57" i="91"/>
  <c r="W56" i="91" s="1"/>
  <c r="X57" i="91"/>
  <c r="X56" i="91" s="1"/>
  <c r="Y57" i="91"/>
  <c r="Y56" i="91" s="1"/>
  <c r="Z57" i="91"/>
  <c r="Z56" i="91" s="1"/>
  <c r="AA57" i="91"/>
  <c r="AA56" i="91" s="1"/>
  <c r="AB57" i="91"/>
  <c r="AB56" i="91" s="1"/>
  <c r="AC57" i="91"/>
  <c r="AC56" i="91" s="1"/>
  <c r="AD57" i="91"/>
  <c r="AD56" i="91" s="1"/>
  <c r="AE57" i="91"/>
  <c r="AE56" i="91" s="1"/>
  <c r="AF57" i="91"/>
  <c r="AF56" i="91" s="1"/>
  <c r="AG57" i="91"/>
  <c r="AG56" i="91" s="1"/>
  <c r="AH57" i="91"/>
  <c r="AH56" i="91" s="1"/>
  <c r="AI57" i="91"/>
  <c r="AI56" i="91" s="1"/>
  <c r="AJ57" i="91"/>
  <c r="AJ56" i="91" s="1"/>
  <c r="AK57" i="91"/>
  <c r="AK56" i="91" s="1"/>
  <c r="AL57" i="91"/>
  <c r="AL56" i="91" s="1"/>
  <c r="AM57" i="91"/>
  <c r="AM56" i="91" s="1"/>
  <c r="AN57" i="91"/>
  <c r="AN56" i="91" s="1"/>
  <c r="AO57" i="91"/>
  <c r="AO56" i="91" s="1"/>
  <c r="AP57" i="91"/>
  <c r="AP56" i="91" s="1"/>
  <c r="AQ57" i="91"/>
  <c r="AQ56" i="91" s="1"/>
  <c r="AR57" i="91"/>
  <c r="AR56" i="91" s="1"/>
  <c r="AS57" i="91"/>
  <c r="AS56" i="91" s="1"/>
  <c r="AT57" i="91"/>
  <c r="AT56" i="91" s="1"/>
  <c r="AU57" i="91"/>
  <c r="AU56" i="91" s="1"/>
  <c r="AV57" i="91"/>
  <c r="AV56" i="91" s="1"/>
  <c r="AW57" i="91"/>
  <c r="AW56" i="91" s="1"/>
  <c r="AX57" i="91"/>
  <c r="AX56" i="91" s="1"/>
  <c r="AY57" i="91"/>
  <c r="AY56" i="91" s="1"/>
  <c r="AZ57" i="91"/>
  <c r="AZ56" i="91" s="1"/>
  <c r="BA57" i="91"/>
  <c r="BA56" i="91" s="1"/>
  <c r="BB57" i="91"/>
  <c r="BB56" i="91" s="1"/>
  <c r="BC57" i="91"/>
  <c r="BC56" i="91" s="1"/>
  <c r="E57" i="91"/>
  <c r="E56" i="91" s="1"/>
  <c r="F50" i="91"/>
  <c r="F49" i="91" s="1"/>
  <c r="G50" i="91"/>
  <c r="G49" i="91" s="1"/>
  <c r="H50" i="91"/>
  <c r="H49" i="91" s="1"/>
  <c r="I50" i="91"/>
  <c r="I49" i="91" s="1"/>
  <c r="J50" i="91"/>
  <c r="J49" i="91" s="1"/>
  <c r="K50" i="91"/>
  <c r="K49" i="91" s="1"/>
  <c r="L50" i="91"/>
  <c r="L49" i="91" s="1"/>
  <c r="M50" i="91"/>
  <c r="M49" i="91" s="1"/>
  <c r="N50" i="91"/>
  <c r="N49" i="91" s="1"/>
  <c r="O50" i="91"/>
  <c r="O49" i="91" s="1"/>
  <c r="P50" i="91"/>
  <c r="P49" i="91" s="1"/>
  <c r="Q50" i="91"/>
  <c r="Q49" i="91" s="1"/>
  <c r="R50" i="91"/>
  <c r="R49" i="91" s="1"/>
  <c r="S50" i="91"/>
  <c r="S49" i="91" s="1"/>
  <c r="T50" i="91"/>
  <c r="T49" i="91" s="1"/>
  <c r="U50" i="91"/>
  <c r="U49" i="91" s="1"/>
  <c r="V50" i="91"/>
  <c r="V49" i="91" s="1"/>
  <c r="W50" i="91"/>
  <c r="W49" i="91" s="1"/>
  <c r="X50" i="91"/>
  <c r="X49" i="91" s="1"/>
  <c r="Y50" i="91"/>
  <c r="Y49" i="91" s="1"/>
  <c r="Z50" i="91"/>
  <c r="Z49" i="91" s="1"/>
  <c r="AA50" i="91"/>
  <c r="AA49" i="91" s="1"/>
  <c r="AB50" i="91"/>
  <c r="AB49" i="91" s="1"/>
  <c r="AC50" i="91"/>
  <c r="AC49" i="91" s="1"/>
  <c r="AD50" i="91"/>
  <c r="AD49" i="91" s="1"/>
  <c r="AE50" i="91"/>
  <c r="AE49" i="91" s="1"/>
  <c r="AF50" i="91"/>
  <c r="AF49" i="91" s="1"/>
  <c r="AG50" i="91"/>
  <c r="AG49" i="91" s="1"/>
  <c r="AH50" i="91"/>
  <c r="AH49" i="91" s="1"/>
  <c r="AI50" i="91"/>
  <c r="AI49" i="91" s="1"/>
  <c r="AJ50" i="91"/>
  <c r="AJ49" i="91" s="1"/>
  <c r="AK50" i="91"/>
  <c r="AK49" i="91" s="1"/>
  <c r="AL50" i="91"/>
  <c r="AL49" i="91" s="1"/>
  <c r="AM50" i="91"/>
  <c r="AM49" i="91" s="1"/>
  <c r="AN50" i="91"/>
  <c r="AN49" i="91" s="1"/>
  <c r="AO50" i="91"/>
  <c r="AO49" i="91" s="1"/>
  <c r="AP50" i="91"/>
  <c r="AP49" i="91" s="1"/>
  <c r="AQ50" i="91"/>
  <c r="AQ49" i="91" s="1"/>
  <c r="AR50" i="91"/>
  <c r="AR49" i="91" s="1"/>
  <c r="AS50" i="91"/>
  <c r="AS49" i="91" s="1"/>
  <c r="AT50" i="91"/>
  <c r="AT49" i="91" s="1"/>
  <c r="AU50" i="91"/>
  <c r="AU49" i="91" s="1"/>
  <c r="AV50" i="91"/>
  <c r="AV49" i="91" s="1"/>
  <c r="AW50" i="91"/>
  <c r="AW49" i="91" s="1"/>
  <c r="AX50" i="91"/>
  <c r="AX49" i="91" s="1"/>
  <c r="AY50" i="91"/>
  <c r="AY49" i="91" s="1"/>
  <c r="AZ50" i="91"/>
  <c r="AZ49" i="91" s="1"/>
  <c r="BA50" i="91"/>
  <c r="BA49" i="91" s="1"/>
  <c r="BB50" i="91"/>
  <c r="BB49" i="91" s="1"/>
  <c r="BC50" i="91"/>
  <c r="BC49" i="91" s="1"/>
  <c r="E50" i="91"/>
  <c r="E49" i="91" s="1"/>
  <c r="F41" i="91"/>
  <c r="F40" i="91" s="1"/>
  <c r="G41" i="91"/>
  <c r="G40" i="91" s="1"/>
  <c r="H41" i="91"/>
  <c r="H40" i="91" s="1"/>
  <c r="I41" i="91"/>
  <c r="I40" i="91" s="1"/>
  <c r="J41" i="91"/>
  <c r="J40" i="91" s="1"/>
  <c r="K41" i="91"/>
  <c r="K40" i="91" s="1"/>
  <c r="L41" i="91"/>
  <c r="L40" i="91" s="1"/>
  <c r="M41" i="91"/>
  <c r="M40" i="91" s="1"/>
  <c r="N41" i="91"/>
  <c r="N40" i="91" s="1"/>
  <c r="O41" i="91"/>
  <c r="O40" i="91" s="1"/>
  <c r="P41" i="91"/>
  <c r="P40" i="91" s="1"/>
  <c r="Q41" i="91"/>
  <c r="Q40" i="91" s="1"/>
  <c r="R41" i="91"/>
  <c r="R40" i="91" s="1"/>
  <c r="S41" i="91"/>
  <c r="S40" i="91" s="1"/>
  <c r="T41" i="91"/>
  <c r="T40" i="91" s="1"/>
  <c r="U41" i="91"/>
  <c r="U40" i="91" s="1"/>
  <c r="V41" i="91"/>
  <c r="V40" i="91" s="1"/>
  <c r="W41" i="91"/>
  <c r="W40" i="91" s="1"/>
  <c r="X41" i="91"/>
  <c r="X40" i="91" s="1"/>
  <c r="Y41" i="91"/>
  <c r="Y40" i="91" s="1"/>
  <c r="Z41" i="91"/>
  <c r="Z40" i="91" s="1"/>
  <c r="AA41" i="91"/>
  <c r="AA40" i="91" s="1"/>
  <c r="AB41" i="91"/>
  <c r="AB40" i="91" s="1"/>
  <c r="AC41" i="91"/>
  <c r="AC40" i="91" s="1"/>
  <c r="AD41" i="91"/>
  <c r="AD40" i="91" s="1"/>
  <c r="AE41" i="91"/>
  <c r="AE40" i="91" s="1"/>
  <c r="AF41" i="91"/>
  <c r="AF40" i="91" s="1"/>
  <c r="AG41" i="91"/>
  <c r="AG40" i="91" s="1"/>
  <c r="AH41" i="91"/>
  <c r="AH40" i="91" s="1"/>
  <c r="AI41" i="91"/>
  <c r="AI40" i="91" s="1"/>
  <c r="AJ41" i="91"/>
  <c r="AJ40" i="91" s="1"/>
  <c r="AK41" i="91"/>
  <c r="AK40" i="91" s="1"/>
  <c r="AL41" i="91"/>
  <c r="AL40" i="91" s="1"/>
  <c r="AM41" i="91"/>
  <c r="AM40" i="91" s="1"/>
  <c r="AN41" i="91"/>
  <c r="AN40" i="91" s="1"/>
  <c r="AO41" i="91"/>
  <c r="AO40" i="91" s="1"/>
  <c r="AP41" i="91"/>
  <c r="AP40" i="91" s="1"/>
  <c r="AQ41" i="91"/>
  <c r="AQ40" i="91" s="1"/>
  <c r="AR41" i="91"/>
  <c r="AR40" i="91" s="1"/>
  <c r="AS41" i="91"/>
  <c r="AS40" i="91" s="1"/>
  <c r="AT41" i="91"/>
  <c r="AT40" i="91" s="1"/>
  <c r="AU41" i="91"/>
  <c r="AU40" i="91" s="1"/>
  <c r="AV41" i="91"/>
  <c r="AV40" i="91" s="1"/>
  <c r="AW41" i="91"/>
  <c r="AW40" i="91" s="1"/>
  <c r="AX41" i="91"/>
  <c r="AX40" i="91" s="1"/>
  <c r="AY41" i="91"/>
  <c r="AY40" i="91" s="1"/>
  <c r="AZ41" i="91"/>
  <c r="AZ40" i="91" s="1"/>
  <c r="BA41" i="91"/>
  <c r="BA40" i="91" s="1"/>
  <c r="BB41" i="91"/>
  <c r="BB40" i="91" s="1"/>
  <c r="BC41" i="91"/>
  <c r="BC40" i="91" s="1"/>
  <c r="E41" i="91"/>
  <c r="E40" i="91" s="1"/>
  <c r="F19" i="91"/>
  <c r="F18" i="91" s="1"/>
  <c r="G19" i="91"/>
  <c r="G18" i="91" s="1"/>
  <c r="H19" i="91"/>
  <c r="H18" i="91" s="1"/>
  <c r="I19" i="91"/>
  <c r="I18" i="91" s="1"/>
  <c r="J19" i="91"/>
  <c r="J18" i="91" s="1"/>
  <c r="K19" i="91"/>
  <c r="K18" i="91" s="1"/>
  <c r="L19" i="91"/>
  <c r="L18" i="91" s="1"/>
  <c r="M19" i="91"/>
  <c r="M18" i="91" s="1"/>
  <c r="N19" i="91"/>
  <c r="N18" i="91" s="1"/>
  <c r="O19" i="91"/>
  <c r="O18" i="91" s="1"/>
  <c r="P19" i="91"/>
  <c r="P18" i="91" s="1"/>
  <c r="Q19" i="91"/>
  <c r="Q18" i="91" s="1"/>
  <c r="R19" i="91"/>
  <c r="R18" i="91" s="1"/>
  <c r="S19" i="91"/>
  <c r="S18" i="91" s="1"/>
  <c r="T19" i="91"/>
  <c r="T18" i="91" s="1"/>
  <c r="U19" i="91"/>
  <c r="U18" i="91" s="1"/>
  <c r="V19" i="91"/>
  <c r="V18" i="91" s="1"/>
  <c r="W19" i="91"/>
  <c r="W18" i="91" s="1"/>
  <c r="X19" i="91"/>
  <c r="X18" i="91" s="1"/>
  <c r="Y19" i="91"/>
  <c r="Y18" i="91" s="1"/>
  <c r="Z19" i="91"/>
  <c r="Z18" i="91" s="1"/>
  <c r="AA19" i="91"/>
  <c r="AA18" i="91" s="1"/>
  <c r="AB19" i="91"/>
  <c r="AB18" i="91" s="1"/>
  <c r="AC19" i="91"/>
  <c r="AC18" i="91" s="1"/>
  <c r="AD19" i="91"/>
  <c r="AD18" i="91" s="1"/>
  <c r="AE19" i="91"/>
  <c r="AE18" i="91" s="1"/>
  <c r="AF19" i="91"/>
  <c r="AF18" i="91" s="1"/>
  <c r="AG19" i="91"/>
  <c r="AG18" i="91" s="1"/>
  <c r="AH19" i="91"/>
  <c r="AH18" i="91" s="1"/>
  <c r="AI19" i="91"/>
  <c r="AI18" i="91" s="1"/>
  <c r="AJ19" i="91"/>
  <c r="AJ18" i="91" s="1"/>
  <c r="AK19" i="91"/>
  <c r="AK18" i="91" s="1"/>
  <c r="AL19" i="91"/>
  <c r="AL18" i="91" s="1"/>
  <c r="AM19" i="91"/>
  <c r="AM18" i="91" s="1"/>
  <c r="AN19" i="91"/>
  <c r="AN18" i="91" s="1"/>
  <c r="AO19" i="91"/>
  <c r="AO18" i="91" s="1"/>
  <c r="AP19" i="91"/>
  <c r="AP18" i="91" s="1"/>
  <c r="AQ19" i="91"/>
  <c r="AQ18" i="91" s="1"/>
  <c r="AR19" i="91"/>
  <c r="AR18" i="91" s="1"/>
  <c r="AS19" i="91"/>
  <c r="AS18" i="91" s="1"/>
  <c r="AT19" i="91"/>
  <c r="AT18" i="91" s="1"/>
  <c r="AU19" i="91"/>
  <c r="AU18" i="91" s="1"/>
  <c r="AV19" i="91"/>
  <c r="AV18" i="91" s="1"/>
  <c r="AW19" i="91"/>
  <c r="AW18" i="91" s="1"/>
  <c r="AX19" i="91"/>
  <c r="AX18" i="91" s="1"/>
  <c r="AY19" i="91"/>
  <c r="AY18" i="91" s="1"/>
  <c r="AZ19" i="91"/>
  <c r="AZ18" i="91" s="1"/>
  <c r="BA19" i="91"/>
  <c r="BA18" i="91" s="1"/>
  <c r="BB19" i="91"/>
  <c r="BB18" i="91" s="1"/>
  <c r="BC19" i="91"/>
  <c r="BC18" i="91" s="1"/>
  <c r="E19" i="91"/>
  <c r="E18" i="91" s="1"/>
  <c r="F11" i="91"/>
  <c r="F10" i="91" s="1"/>
  <c r="G11" i="91"/>
  <c r="G10" i="91" s="1"/>
  <c r="H11" i="91"/>
  <c r="H10" i="91" s="1"/>
  <c r="I11" i="91"/>
  <c r="I10" i="91" s="1"/>
  <c r="J11" i="91"/>
  <c r="J10" i="91" s="1"/>
  <c r="K11" i="91"/>
  <c r="K10" i="91" s="1"/>
  <c r="L11" i="91"/>
  <c r="L10" i="91" s="1"/>
  <c r="M11" i="91"/>
  <c r="M10" i="91" s="1"/>
  <c r="N11" i="91"/>
  <c r="N10" i="91" s="1"/>
  <c r="O11" i="91"/>
  <c r="O10" i="91" s="1"/>
  <c r="P11" i="91"/>
  <c r="P10" i="91" s="1"/>
  <c r="Q11" i="91"/>
  <c r="Q10" i="91" s="1"/>
  <c r="R11" i="91"/>
  <c r="R10" i="91" s="1"/>
  <c r="S11" i="91"/>
  <c r="S10" i="91" s="1"/>
  <c r="T11" i="91"/>
  <c r="T10" i="91" s="1"/>
  <c r="U11" i="91"/>
  <c r="U10" i="91" s="1"/>
  <c r="V11" i="91"/>
  <c r="V10" i="91" s="1"/>
  <c r="W11" i="91"/>
  <c r="W10" i="91" s="1"/>
  <c r="X11" i="91"/>
  <c r="X10" i="91" s="1"/>
  <c r="Y11" i="91"/>
  <c r="Y10" i="91" s="1"/>
  <c r="Z11" i="91"/>
  <c r="Z10" i="91" s="1"/>
  <c r="AA11" i="91"/>
  <c r="AA10" i="91" s="1"/>
  <c r="AB11" i="91"/>
  <c r="AB10" i="91" s="1"/>
  <c r="AC11" i="91"/>
  <c r="AC10" i="91" s="1"/>
  <c r="AD11" i="91"/>
  <c r="AD10" i="91" s="1"/>
  <c r="AE11" i="91"/>
  <c r="AE10" i="91" s="1"/>
  <c r="AF11" i="91"/>
  <c r="AF10" i="91" s="1"/>
  <c r="AG11" i="91"/>
  <c r="AG10" i="91" s="1"/>
  <c r="AH11" i="91"/>
  <c r="AH10" i="91" s="1"/>
  <c r="AI11" i="91"/>
  <c r="AI10" i="91" s="1"/>
  <c r="AJ11" i="91"/>
  <c r="AJ10" i="91" s="1"/>
  <c r="AK11" i="91"/>
  <c r="AK10" i="91" s="1"/>
  <c r="AL11" i="91"/>
  <c r="AL10" i="91" s="1"/>
  <c r="AM11" i="91"/>
  <c r="AM10" i="91" s="1"/>
  <c r="AN11" i="91"/>
  <c r="AN10" i="91" s="1"/>
  <c r="AO11" i="91"/>
  <c r="AO10" i="91" s="1"/>
  <c r="AP11" i="91"/>
  <c r="AP10" i="91" s="1"/>
  <c r="AQ11" i="91"/>
  <c r="AQ10" i="91" s="1"/>
  <c r="AR11" i="91"/>
  <c r="AR10" i="91" s="1"/>
  <c r="AS11" i="91"/>
  <c r="AS10" i="91" s="1"/>
  <c r="AT11" i="91"/>
  <c r="AT10" i="91" s="1"/>
  <c r="AU11" i="91"/>
  <c r="AU10" i="91" s="1"/>
  <c r="AV11" i="91"/>
  <c r="AV10" i="91" s="1"/>
  <c r="AW11" i="91"/>
  <c r="AW10" i="91" s="1"/>
  <c r="AX11" i="91"/>
  <c r="AX10" i="91" s="1"/>
  <c r="AY11" i="91"/>
  <c r="AY10" i="91" s="1"/>
  <c r="AZ11" i="91"/>
  <c r="AZ10" i="91" s="1"/>
  <c r="BA11" i="91"/>
  <c r="BA10" i="91" s="1"/>
  <c r="BB11" i="91"/>
  <c r="BB10" i="91" s="1"/>
  <c r="BC11" i="91"/>
  <c r="BC10" i="91" s="1"/>
  <c r="BD11" i="91"/>
  <c r="BE11" i="91"/>
  <c r="E11" i="91"/>
  <c r="E10" i="91" s="1"/>
  <c r="F6" i="91"/>
  <c r="G6" i="91"/>
  <c r="H6" i="91"/>
  <c r="I6" i="91"/>
  <c r="J6" i="91"/>
  <c r="K6" i="91"/>
  <c r="L6" i="91"/>
  <c r="M6" i="91"/>
  <c r="N6" i="91"/>
  <c r="O6" i="91"/>
  <c r="P6" i="91"/>
  <c r="Q6" i="91"/>
  <c r="R6" i="91"/>
  <c r="S6" i="91"/>
  <c r="T6" i="91"/>
  <c r="U6" i="91"/>
  <c r="V6" i="91"/>
  <c r="W6" i="91"/>
  <c r="X6" i="91"/>
  <c r="Y6" i="91"/>
  <c r="Z6" i="91"/>
  <c r="AA6" i="91"/>
  <c r="AB6" i="91"/>
  <c r="AC6" i="91"/>
  <c r="AD6" i="91"/>
  <c r="AE6" i="91"/>
  <c r="AF6" i="91"/>
  <c r="AG6" i="91"/>
  <c r="AH6" i="91"/>
  <c r="AI6" i="91"/>
  <c r="AJ6" i="91"/>
  <c r="AK6" i="91"/>
  <c r="AL6" i="91"/>
  <c r="AM6" i="91"/>
  <c r="AN6" i="91"/>
  <c r="AO6" i="91"/>
  <c r="AP6" i="91"/>
  <c r="AQ6" i="91"/>
  <c r="AR6" i="91"/>
  <c r="AS6" i="91"/>
  <c r="AT6" i="91"/>
  <c r="AU6" i="91"/>
  <c r="AV6" i="91"/>
  <c r="AW6" i="91"/>
  <c r="AX6" i="91"/>
  <c r="AY6" i="91"/>
  <c r="AZ6" i="91"/>
  <c r="BA6" i="91"/>
  <c r="BB6" i="91"/>
  <c r="BC6" i="91"/>
  <c r="E6" i="91"/>
  <c r="AI47" i="85" l="1"/>
  <c r="E47" i="85"/>
  <c r="F47" i="85" s="1"/>
  <c r="G47" i="85" s="1"/>
  <c r="H47" i="85" s="1"/>
  <c r="I47" i="85" s="1"/>
  <c r="J47" i="85" s="1"/>
  <c r="K47" i="85" s="1"/>
  <c r="L47" i="85" s="1"/>
  <c r="M47" i="85" s="1"/>
  <c r="N47" i="85" s="1"/>
  <c r="O47" i="85" s="1"/>
  <c r="P47" i="85" s="1"/>
  <c r="Q47" i="85" s="1"/>
  <c r="R47" i="85" s="1"/>
  <c r="S47" i="85" s="1"/>
  <c r="T47" i="85" s="1"/>
  <c r="U47" i="85" s="1"/>
  <c r="V47" i="85" s="1"/>
  <c r="W47" i="85" s="1"/>
  <c r="X47" i="85" s="1"/>
  <c r="Y47" i="85" s="1"/>
  <c r="Z47" i="85" s="1"/>
  <c r="AA47" i="85" s="1"/>
  <c r="AB47" i="85" s="1"/>
  <c r="AC47" i="85" s="1"/>
  <c r="AD47" i="85" s="1"/>
  <c r="AE47" i="85" s="1"/>
  <c r="AF47" i="85" s="1"/>
  <c r="AG47" i="85" s="1"/>
  <c r="AI34" i="85"/>
  <c r="E34" i="85"/>
  <c r="F34" i="85" s="1"/>
  <c r="G34" i="85" s="1"/>
  <c r="H34" i="85" s="1"/>
  <c r="I34" i="85" s="1"/>
  <c r="J34" i="85" s="1"/>
  <c r="K34" i="85" s="1"/>
  <c r="L34" i="85" s="1"/>
  <c r="M34" i="85" s="1"/>
  <c r="N34" i="85" s="1"/>
  <c r="O34" i="85" s="1"/>
  <c r="P34" i="85" s="1"/>
  <c r="Q34" i="85" s="1"/>
  <c r="R34" i="85" s="1"/>
  <c r="S34" i="85" s="1"/>
  <c r="T34" i="85" s="1"/>
  <c r="U34" i="85" s="1"/>
  <c r="V34" i="85" s="1"/>
  <c r="W34" i="85" s="1"/>
  <c r="X34" i="85" s="1"/>
  <c r="Y34" i="85" s="1"/>
  <c r="Z34" i="85" s="1"/>
  <c r="AA34" i="85" s="1"/>
  <c r="AB34" i="85" s="1"/>
  <c r="AC34" i="85" s="1"/>
  <c r="AD34" i="85" s="1"/>
  <c r="AE34" i="85" s="1"/>
  <c r="AF34" i="85" s="1"/>
  <c r="AG34" i="85" s="1"/>
  <c r="AI21" i="85"/>
  <c r="E21" i="85"/>
  <c r="F21" i="85" s="1"/>
  <c r="G21" i="85" s="1"/>
  <c r="H21" i="85" s="1"/>
  <c r="I21" i="85" s="1"/>
  <c r="J21" i="85" s="1"/>
  <c r="K21" i="85" s="1"/>
  <c r="L21" i="85" s="1"/>
  <c r="M21" i="85" s="1"/>
  <c r="N21" i="85" s="1"/>
  <c r="O21" i="85" s="1"/>
  <c r="P21" i="85" s="1"/>
  <c r="Q21" i="85" s="1"/>
  <c r="R21" i="85" s="1"/>
  <c r="S21" i="85" s="1"/>
  <c r="T21" i="85" s="1"/>
  <c r="U21" i="85" s="1"/>
  <c r="V21" i="85" s="1"/>
  <c r="W21" i="85" s="1"/>
  <c r="X21" i="85" s="1"/>
  <c r="Y21" i="85" s="1"/>
  <c r="Z21" i="85" s="1"/>
  <c r="AA21" i="85" s="1"/>
  <c r="AB21" i="85" s="1"/>
  <c r="AC21" i="85" s="1"/>
  <c r="AD21" i="85" s="1"/>
  <c r="AE21" i="85" s="1"/>
  <c r="AF21" i="85" s="1"/>
  <c r="AG21" i="85" s="1"/>
  <c r="AI7" i="85"/>
  <c r="E7" i="85"/>
  <c r="F7" i="85" s="1"/>
  <c r="G7" i="85" s="1"/>
  <c r="H7" i="85" s="1"/>
  <c r="I7" i="85" s="1"/>
  <c r="J7" i="85" s="1"/>
  <c r="K7" i="85" s="1"/>
  <c r="L7" i="85" s="1"/>
  <c r="M7" i="85" s="1"/>
  <c r="N7" i="85" s="1"/>
  <c r="O7" i="85" s="1"/>
  <c r="P7" i="85" s="1"/>
  <c r="Q7" i="85" s="1"/>
  <c r="R7" i="85" s="1"/>
  <c r="S7" i="85" s="1"/>
  <c r="T7" i="85" s="1"/>
  <c r="U7" i="85" s="1"/>
  <c r="V7" i="85" s="1"/>
  <c r="W7" i="85" s="1"/>
  <c r="X7" i="85" s="1"/>
  <c r="Y7" i="85" s="1"/>
  <c r="Z7" i="85" s="1"/>
  <c r="AA7" i="85" s="1"/>
  <c r="AB7" i="85" s="1"/>
  <c r="AC7" i="85" s="1"/>
  <c r="AD7" i="85" s="1"/>
  <c r="AE7" i="85" s="1"/>
  <c r="AF7" i="85" s="1"/>
  <c r="AG7" i="85" s="1"/>
  <c r="AI49" i="94"/>
  <c r="E49" i="94"/>
  <c r="F49" i="94" s="1"/>
  <c r="G49" i="94" s="1"/>
  <c r="H49" i="94" s="1"/>
  <c r="I49" i="94" s="1"/>
  <c r="J49" i="94" s="1"/>
  <c r="K49" i="94" s="1"/>
  <c r="L49" i="94" s="1"/>
  <c r="M49" i="94" s="1"/>
  <c r="N49" i="94" s="1"/>
  <c r="O49" i="94" s="1"/>
  <c r="P49" i="94" s="1"/>
  <c r="Q49" i="94" s="1"/>
  <c r="R49" i="94" s="1"/>
  <c r="S49" i="94" s="1"/>
  <c r="T49" i="94" s="1"/>
  <c r="U49" i="94" s="1"/>
  <c r="V49" i="94" s="1"/>
  <c r="W49" i="94" s="1"/>
  <c r="X49" i="94" s="1"/>
  <c r="Y49" i="94" s="1"/>
  <c r="Z49" i="94" s="1"/>
  <c r="AA49" i="94" s="1"/>
  <c r="AB49" i="94" s="1"/>
  <c r="AC49" i="94" s="1"/>
  <c r="AD49" i="94" s="1"/>
  <c r="AE49" i="94" s="1"/>
  <c r="AF49" i="94" s="1"/>
  <c r="AG49" i="94" s="1"/>
  <c r="AI35" i="94"/>
  <c r="E35" i="94"/>
  <c r="F35" i="94" s="1"/>
  <c r="G35" i="94" s="1"/>
  <c r="H35" i="94" s="1"/>
  <c r="I35" i="94" s="1"/>
  <c r="J35" i="94" s="1"/>
  <c r="K35" i="94" s="1"/>
  <c r="L35" i="94" s="1"/>
  <c r="M35" i="94" s="1"/>
  <c r="N35" i="94" s="1"/>
  <c r="O35" i="94" s="1"/>
  <c r="P35" i="94" s="1"/>
  <c r="Q35" i="94" s="1"/>
  <c r="R35" i="94" s="1"/>
  <c r="S35" i="94" s="1"/>
  <c r="T35" i="94" s="1"/>
  <c r="U35" i="94" s="1"/>
  <c r="V35" i="94" s="1"/>
  <c r="W35" i="94" s="1"/>
  <c r="X35" i="94" s="1"/>
  <c r="Y35" i="94" s="1"/>
  <c r="Z35" i="94" s="1"/>
  <c r="AA35" i="94" s="1"/>
  <c r="AB35" i="94" s="1"/>
  <c r="AC35" i="94" s="1"/>
  <c r="AD35" i="94" s="1"/>
  <c r="AE35" i="94" s="1"/>
  <c r="AF35" i="94" s="1"/>
  <c r="AG35" i="94" s="1"/>
  <c r="AI20" i="94"/>
  <c r="E20" i="94"/>
  <c r="F20" i="94" s="1"/>
  <c r="G20" i="94" s="1"/>
  <c r="H20" i="94" s="1"/>
  <c r="I20" i="94" s="1"/>
  <c r="J20" i="94" s="1"/>
  <c r="K20" i="94" s="1"/>
  <c r="L20" i="94" s="1"/>
  <c r="M20" i="94" s="1"/>
  <c r="N20" i="94" s="1"/>
  <c r="O20" i="94" s="1"/>
  <c r="P20" i="94" s="1"/>
  <c r="Q20" i="94" s="1"/>
  <c r="R20" i="94" s="1"/>
  <c r="S20" i="94" s="1"/>
  <c r="T20" i="94" s="1"/>
  <c r="U20" i="94" s="1"/>
  <c r="V20" i="94" s="1"/>
  <c r="W20" i="94" s="1"/>
  <c r="X20" i="94" s="1"/>
  <c r="Y20" i="94" s="1"/>
  <c r="Z20" i="94" s="1"/>
  <c r="AA20" i="94" s="1"/>
  <c r="AB20" i="94" s="1"/>
  <c r="AC20" i="94" s="1"/>
  <c r="AD20" i="94" s="1"/>
  <c r="AE20" i="94" s="1"/>
  <c r="AF20" i="94" s="1"/>
  <c r="AG20" i="94" s="1"/>
  <c r="AI8" i="94"/>
  <c r="E8" i="94"/>
  <c r="F8" i="94" s="1"/>
  <c r="G8" i="94" s="1"/>
  <c r="H8" i="94" s="1"/>
  <c r="I8" i="94" s="1"/>
  <c r="J8" i="94" s="1"/>
  <c r="K8" i="94" s="1"/>
  <c r="L8" i="94" s="1"/>
  <c r="M8" i="94" s="1"/>
  <c r="N8" i="94" s="1"/>
  <c r="O8" i="94" s="1"/>
  <c r="P8" i="94" s="1"/>
  <c r="Q8" i="94" s="1"/>
  <c r="R8" i="94" s="1"/>
  <c r="S8" i="94" s="1"/>
  <c r="T8" i="94" s="1"/>
  <c r="U8" i="94" s="1"/>
  <c r="V8" i="94" s="1"/>
  <c r="W8" i="94" s="1"/>
  <c r="X8" i="94" s="1"/>
  <c r="Y8" i="94" s="1"/>
  <c r="Z8" i="94" s="1"/>
  <c r="AA8" i="94" s="1"/>
  <c r="AB8" i="94" s="1"/>
  <c r="AC8" i="94" s="1"/>
  <c r="AD8" i="94" s="1"/>
  <c r="AE8" i="94" s="1"/>
  <c r="AF8" i="94" s="1"/>
  <c r="AG8" i="94" s="1"/>
</calcChain>
</file>

<file path=xl/sharedStrings.xml><?xml version="1.0" encoding="utf-8"?>
<sst xmlns="http://schemas.openxmlformats.org/spreadsheetml/2006/main" count="2098" uniqueCount="385">
  <si>
    <t>ESCALA ESPECIAL</t>
  </si>
  <si>
    <t>D</t>
  </si>
  <si>
    <t>S</t>
  </si>
  <si>
    <t>T</t>
  </si>
  <si>
    <t>Q</t>
  </si>
  <si>
    <t>EQUIPE  C</t>
  </si>
  <si>
    <t>EQUIPE  D</t>
  </si>
  <si>
    <t>EQUIPE  A</t>
  </si>
  <si>
    <t>EQUIPE  B</t>
  </si>
  <si>
    <t>SD LOUZADA</t>
  </si>
  <si>
    <t>SGT TADEU</t>
  </si>
  <si>
    <t>SD CANDEIAS</t>
  </si>
  <si>
    <t>CB CRUZ</t>
  </si>
  <si>
    <t>CB HOFFMAM</t>
  </si>
  <si>
    <t>CB D. MATTOS</t>
  </si>
  <si>
    <t>SGT RUFINO</t>
  </si>
  <si>
    <t>MERGULHO</t>
  </si>
  <si>
    <t>NF</t>
  </si>
  <si>
    <t>SD FABRE</t>
  </si>
  <si>
    <t>ABRIL 2015</t>
  </si>
  <si>
    <t>ESCALA SOBRE AVISO</t>
  </si>
  <si>
    <t>AUTOTANQUE</t>
  </si>
  <si>
    <t>SGT MARCELO</t>
  </si>
  <si>
    <t>SGT GERALDO</t>
  </si>
  <si>
    <t>CB FARLLER</t>
  </si>
  <si>
    <t>SD DAVI ALVES</t>
  </si>
  <si>
    <t>SD AMERICO</t>
  </si>
  <si>
    <t>SGT BROETTO</t>
  </si>
  <si>
    <t>CB JEFERSON SILVA</t>
  </si>
  <si>
    <t>X</t>
  </si>
  <si>
    <t>SALVAMAR</t>
  </si>
  <si>
    <t>CB RAFAEL</t>
  </si>
  <si>
    <t>CHEFE</t>
  </si>
  <si>
    <t>MILITAR</t>
  </si>
  <si>
    <t>FUNÇÃO</t>
  </si>
  <si>
    <t>ALMOXARIFADO</t>
  </si>
  <si>
    <t>CB JEZREEL</t>
  </si>
  <si>
    <t xml:space="preserve"> </t>
  </si>
  <si>
    <t>SGT PRATES</t>
  </si>
  <si>
    <t>EQUIPE A</t>
  </si>
  <si>
    <t>CB LOUZADA</t>
  </si>
  <si>
    <t>2 SGT BOREL</t>
  </si>
  <si>
    <t>1 SGT BROETTO</t>
  </si>
  <si>
    <t>2 SGT PAULO JORGE</t>
  </si>
  <si>
    <t>2 SGT GERALDO</t>
  </si>
  <si>
    <t>CB SERVINO</t>
  </si>
  <si>
    <t>CB DALL ORTO</t>
  </si>
  <si>
    <t>CB YURI</t>
  </si>
  <si>
    <t>CB CHAGAS</t>
  </si>
  <si>
    <t>CB BRITO MENDES</t>
  </si>
  <si>
    <t>CB TEIXEIRA</t>
  </si>
  <si>
    <t>CB BAIENSE</t>
  </si>
  <si>
    <t>CB RAFAEL BARROS</t>
  </si>
  <si>
    <t>CB DOUGLAS</t>
  </si>
  <si>
    <t>CB WESLEY SOUZA</t>
  </si>
  <si>
    <t>CB MARIA DA PENHA</t>
  </si>
  <si>
    <t>CB ALBANI</t>
  </si>
  <si>
    <t>SD FERNANDO</t>
  </si>
  <si>
    <t>SGT STEFANON</t>
  </si>
  <si>
    <t>CB MELO</t>
  </si>
  <si>
    <t>CB YUKIO</t>
  </si>
  <si>
    <t>SD GABRIEL</t>
  </si>
  <si>
    <t>SD LIMOEIRO</t>
  </si>
  <si>
    <t>CB THIAGO MIRANDA</t>
  </si>
  <si>
    <t>3 SGT JEAN</t>
  </si>
  <si>
    <t>CB LOUREIRO</t>
  </si>
  <si>
    <t>CB MILANEZI</t>
  </si>
  <si>
    <t>CB PIRAJA</t>
  </si>
  <si>
    <t>SGT DANIEL</t>
  </si>
  <si>
    <t>SD MONTEBELLER</t>
  </si>
  <si>
    <t>CB SHIRLEY</t>
  </si>
  <si>
    <t>CB PAVAN</t>
  </si>
  <si>
    <t>CB LAZZARINI</t>
  </si>
  <si>
    <t>CB BRUNO RIBEIRO</t>
  </si>
  <si>
    <t>CB ARRUDA</t>
  </si>
  <si>
    <t>SGT BENTO</t>
  </si>
  <si>
    <t>CB TELEK</t>
  </si>
  <si>
    <t>CB CANDEIAS</t>
  </si>
  <si>
    <t>CB TIBURCIO</t>
  </si>
  <si>
    <t>CB KURISAKA</t>
  </si>
  <si>
    <t>CB ANDRE SOARES</t>
  </si>
  <si>
    <t>2º SGT COLOMBO</t>
  </si>
  <si>
    <t>SD JANIO</t>
  </si>
  <si>
    <t>SGT WAGNER</t>
  </si>
  <si>
    <t>CB JARDEL</t>
  </si>
  <si>
    <t>CB COMPER</t>
  </si>
  <si>
    <t>CB SONEGHETTI</t>
  </si>
  <si>
    <t>SD VINICIUS CORDEIRO</t>
  </si>
  <si>
    <t>CB GUEDES</t>
  </si>
  <si>
    <t>SD GUIMARÃES</t>
  </si>
  <si>
    <t>SD VIGANOR</t>
  </si>
  <si>
    <t>SD RHUAN</t>
  </si>
  <si>
    <t>CB SCHUBERT</t>
  </si>
  <si>
    <t>CB ALEXANDRE</t>
  </si>
  <si>
    <t>SD HUMBERTO</t>
  </si>
  <si>
    <t>SD HENRIQUE CRUZ</t>
  </si>
  <si>
    <t>MERGULHADOR</t>
  </si>
  <si>
    <t>OPERADOR</t>
  </si>
  <si>
    <t>CONDUTOR</t>
  </si>
  <si>
    <t>GOVERNO DO ESTADO  DO ESPÍRITO SANTO</t>
  </si>
  <si>
    <t>CORPO DE BOMBEIROS  MILITAR</t>
  </si>
  <si>
    <t>__________________________________________</t>
  </si>
  <si>
    <r>
      <t xml:space="preserve">Pedro </t>
    </r>
    <r>
      <rPr>
        <b/>
        <sz val="12"/>
        <rFont val="Calibri"/>
        <family val="2"/>
      </rPr>
      <t>Dalvi</t>
    </r>
    <r>
      <rPr>
        <sz val="12"/>
        <rFont val="Calibri"/>
        <family val="2"/>
      </rPr>
      <t xml:space="preserve"> Boina – Cap BM</t>
    </r>
  </si>
  <si>
    <t>Comandante da 1ªCia/1ºBBM</t>
  </si>
  <si>
    <t>NOVEMBRO 2016</t>
  </si>
  <si>
    <t>CB GLEYSON</t>
  </si>
  <si>
    <t>FUNÇOES</t>
  </si>
  <si>
    <t>SD FARIA</t>
  </si>
  <si>
    <t>CB WILLIAN</t>
  </si>
  <si>
    <t xml:space="preserve"> SGT COLOMBO</t>
  </si>
  <si>
    <t xml:space="preserve"> SGT PAULO JORGE</t>
  </si>
  <si>
    <t xml:space="preserve"> SGT GERALDO</t>
  </si>
  <si>
    <t xml:space="preserve"> SGT JEAN</t>
  </si>
  <si>
    <t xml:space="preserve"> SGT BROETTO</t>
  </si>
  <si>
    <t xml:space="preserve"> SGT CARLA</t>
  </si>
  <si>
    <t>JANEIRO 2017</t>
  </si>
  <si>
    <t>GRATIFICAÇÃO DE SERVIÇO EXTRAORDINÁRIO - JANEIRO 2017</t>
  </si>
  <si>
    <t>CB DAVI ALVES</t>
  </si>
  <si>
    <t>FÉRIAS</t>
  </si>
  <si>
    <t xml:space="preserve"> SGT JEAN CEZAR</t>
  </si>
  <si>
    <t>(**) Atenção o Militar aparece em uma equipe na 1ª quinzena e em outra na 2ª quinzena</t>
  </si>
  <si>
    <t>1º BATALHÃO BOMBEIRO MILITAR</t>
  </si>
  <si>
    <t>1ª COMPANHIA</t>
  </si>
  <si>
    <t>X - ESCALA DE SOBREAVISO                     18:00 ÀS 00:00 ( 06h )</t>
  </si>
  <si>
    <t>Y - ESCALA DE SOBREAVISO                      08:00 ÀS 20:00 ( 12h )</t>
  </si>
  <si>
    <t>ESCALA ESPECIAL DE APOIO OPERACIONAL - MARÇO 2017</t>
  </si>
  <si>
    <t>D - ESCALA DE REFORÇO OPERACIONAL</t>
  </si>
  <si>
    <t>AVISO - ESCALA ESPECIAL</t>
  </si>
  <si>
    <t>DIA</t>
  </si>
  <si>
    <t>HORÁRIO</t>
  </si>
  <si>
    <t>19h10 às 07h10</t>
  </si>
  <si>
    <t>Comandante da 1ªCia/1º BBM</t>
  </si>
  <si>
    <t>LOCAL</t>
  </si>
  <si>
    <t>1ªCIA/1°BBM</t>
  </si>
  <si>
    <r>
      <t xml:space="preserve">                                       </t>
    </r>
    <r>
      <rPr>
        <b/>
        <sz val="14"/>
        <color indexed="8"/>
        <rFont val="Calibri"/>
        <family val="2"/>
      </rPr>
      <t>Afonso Amorim</t>
    </r>
    <r>
      <rPr>
        <sz val="14"/>
        <color indexed="8"/>
        <rFont val="Calibri"/>
        <family val="2"/>
      </rPr>
      <t xml:space="preserve"> Pereira – CAP QOCBM</t>
    </r>
  </si>
  <si>
    <t>SAT</t>
  </si>
  <si>
    <t>DATA</t>
  </si>
  <si>
    <t>SGT DILSON</t>
  </si>
  <si>
    <t>ADM</t>
  </si>
  <si>
    <t xml:space="preserve">  _________________________________________</t>
  </si>
  <si>
    <t>SGT ALEXANDRE</t>
  </si>
  <si>
    <t>SGT D.MATTOS</t>
  </si>
  <si>
    <t>SGT FALLER</t>
  </si>
  <si>
    <r>
      <t>SGT</t>
    </r>
    <r>
      <rPr>
        <b/>
        <sz val="10"/>
        <color indexed="8"/>
        <rFont val="Arial"/>
        <family val="2"/>
      </rPr>
      <t xml:space="preserve"> CLEL VIANA</t>
    </r>
  </si>
  <si>
    <t>CB IZACK GONÇALVES</t>
  </si>
  <si>
    <t>SGT BONGIOVANI</t>
  </si>
  <si>
    <t>SGT JULIO</t>
  </si>
  <si>
    <t xml:space="preserve">GRATIFICAÇÃO DE SERVIÇO EXTRAORDINÁRIO - </t>
  </si>
  <si>
    <t>CB VINÍCIUS CORDEIRO</t>
  </si>
  <si>
    <t>CB LAUFF</t>
  </si>
  <si>
    <t>SGT HEVERTON</t>
  </si>
  <si>
    <t>SGT HIIBNER</t>
  </si>
  <si>
    <t>CB ELSON</t>
  </si>
  <si>
    <t xml:space="preserve">CB  IARA  </t>
  </si>
  <si>
    <t>SGT JEZREEL</t>
  </si>
  <si>
    <t>SGT BARCELLOS</t>
  </si>
  <si>
    <t>CB DENIS</t>
  </si>
  <si>
    <t>SD PASSON</t>
  </si>
  <si>
    <t>CB ALVARENGA</t>
  </si>
  <si>
    <t>CB VICENTE</t>
  </si>
  <si>
    <t>TEN SANTOS</t>
  </si>
  <si>
    <t>CB DAN</t>
  </si>
  <si>
    <t>CB EFRAIM</t>
  </si>
  <si>
    <t>ST STOFFEL</t>
  </si>
  <si>
    <t>TEN NOLIMAR</t>
  </si>
  <si>
    <t>CB BEATRIZ</t>
  </si>
  <si>
    <t>SGT MARIANE</t>
  </si>
  <si>
    <t>SD ELEUTÉRIO</t>
  </si>
  <si>
    <t>07:10 ÀS 13:10</t>
  </si>
  <si>
    <t>SGT ZUCOLOTO</t>
  </si>
  <si>
    <t>SGT RHUAN</t>
  </si>
  <si>
    <t>SGT RAFAEL</t>
  </si>
  <si>
    <t>SGT JARDEL</t>
  </si>
  <si>
    <r>
      <t xml:space="preserve">SGT </t>
    </r>
    <r>
      <rPr>
        <b/>
        <sz val="10"/>
        <color indexed="8"/>
        <rFont val="Arial"/>
        <family val="2"/>
      </rPr>
      <t>LUCIANA</t>
    </r>
    <r>
      <rPr>
        <b/>
        <sz val="10"/>
        <rFont val="Arial"/>
        <family val="2"/>
      </rPr>
      <t xml:space="preserve"> </t>
    </r>
  </si>
  <si>
    <t>SD DA HORA</t>
  </si>
  <si>
    <t>SD F. ROCHA</t>
  </si>
  <si>
    <t>CB GASTALDI</t>
  </si>
  <si>
    <t>SGT HUMBERTO</t>
  </si>
  <si>
    <t>SGT BISSOLI</t>
  </si>
  <si>
    <t>CB JACQUES ( V2)</t>
  </si>
  <si>
    <t>CB KREUZ</t>
  </si>
  <si>
    <t>ST CARLOS EDUARDO</t>
  </si>
  <si>
    <t>SGT CHAGAS</t>
  </si>
  <si>
    <t>SD CASSIO</t>
  </si>
  <si>
    <t>CB CALDAS</t>
  </si>
  <si>
    <t>SGT DANIELI PERINI</t>
  </si>
  <si>
    <r>
      <rPr>
        <b/>
        <sz val="14"/>
        <color rgb="FF000000"/>
        <rFont val="Calibri"/>
        <family val="2"/>
      </rPr>
      <t xml:space="preserve"> Alan</t>
    </r>
    <r>
      <rPr>
        <sz val="14"/>
        <color indexed="8"/>
        <rFont val="Calibri"/>
        <family val="2"/>
      </rPr>
      <t xml:space="preserve"> Rosa Francisco - CAP QOCBM</t>
    </r>
  </si>
  <si>
    <t>SGT SHIRLEY</t>
  </si>
  <si>
    <t>SGT LYRA</t>
  </si>
  <si>
    <t>SUPERVISOR  E</t>
  </si>
  <si>
    <t>SUPERVISOR  F</t>
  </si>
  <si>
    <t>SD MARTINELLI</t>
  </si>
  <si>
    <t>SD BRANDÃO</t>
  </si>
  <si>
    <t>SD CAMILA</t>
  </si>
  <si>
    <t>SD JULIA</t>
  </si>
  <si>
    <t>SD RITA</t>
  </si>
  <si>
    <t>SD LOUREIRO</t>
  </si>
  <si>
    <t>SD ROSÁRIO</t>
  </si>
  <si>
    <t>FORA DOS FINAIS DE SEMANA ESCALA ESPECIAL</t>
  </si>
  <si>
    <t>SD LUCIANO / SD E.CAETANO</t>
  </si>
  <si>
    <t>SGT JARDEL / SD BEM-HUR</t>
  </si>
  <si>
    <t>SGT JUALIANO / SD CAMILA</t>
  </si>
  <si>
    <t>SGT SHIRLEY / SD ROSSO</t>
  </si>
  <si>
    <t>CB KREUZ / SD GUIZAN</t>
  </si>
  <si>
    <t>SD BIANCA / SD CECHETO</t>
  </si>
  <si>
    <t>CB VICENTE / SD F.ROCHA</t>
  </si>
  <si>
    <t>CB DENIS / SD AMANDA</t>
  </si>
  <si>
    <t>SD RAIN / SD MARINI</t>
  </si>
  <si>
    <t>SD PASSON / SD ROBSON</t>
  </si>
  <si>
    <t>SD BRANDÃO / SD MARTINELI</t>
  </si>
  <si>
    <t xml:space="preserve"> SD SOUZA</t>
  </si>
  <si>
    <t xml:space="preserve"> SD JULIA</t>
  </si>
  <si>
    <t xml:space="preserve">ESCALA ESPECIAL  - FEVEREIRO 2024                                       </t>
  </si>
  <si>
    <t>24h</t>
  </si>
  <si>
    <t>ALPHA</t>
  </si>
  <si>
    <t>BRAVO</t>
  </si>
  <si>
    <t>CHARLIE</t>
  </si>
  <si>
    <t>DELTA</t>
  </si>
  <si>
    <t>MERGULHO A</t>
  </si>
  <si>
    <t>MERGULHO B</t>
  </si>
  <si>
    <t>MERGULHO C</t>
  </si>
  <si>
    <t>MIILITAR</t>
  </si>
  <si>
    <t>EQUIPE</t>
  </si>
  <si>
    <t>1ª EQUIPE</t>
  </si>
  <si>
    <t>PRONTIDÃO</t>
  </si>
  <si>
    <t>SETOR ADM</t>
  </si>
  <si>
    <t>SALVAMAR 1</t>
  </si>
  <si>
    <t>OBS</t>
  </si>
  <si>
    <t>F</t>
  </si>
  <si>
    <t>APOIO</t>
  </si>
  <si>
    <t>SD MARCHESI</t>
  </si>
  <si>
    <t>SD PELICIONI</t>
  </si>
  <si>
    <t>CB VAZ</t>
  </si>
  <si>
    <t>CB VICTOR ASSIS</t>
  </si>
  <si>
    <t>CAP ALAN</t>
  </si>
  <si>
    <t>1º SGT JEAN CEZAR</t>
  </si>
  <si>
    <t>2ºSGT CHAGAS</t>
  </si>
  <si>
    <t xml:space="preserve">2ºSGT CLEL VIANA </t>
  </si>
  <si>
    <t>2ºSGT FALLER</t>
  </si>
  <si>
    <t>2ºSGT HOFFMAM</t>
  </si>
  <si>
    <t>2ºSGT BISSOLI</t>
  </si>
  <si>
    <t>2ºSGT MARIANE</t>
  </si>
  <si>
    <t>2ºSGT D. MATTOS</t>
  </si>
  <si>
    <t>2ºSGT JARDEL</t>
  </si>
  <si>
    <t>2ºSGT JÚLIO</t>
  </si>
  <si>
    <t>3º SGT HOMERO</t>
  </si>
  <si>
    <t>3º SGT JEZREEL</t>
  </si>
  <si>
    <t>3º SGT SHIRLEY</t>
  </si>
  <si>
    <t>3º SGT LOUZADA</t>
  </si>
  <si>
    <t>3º SGT RHUAN</t>
  </si>
  <si>
    <t>3º SGT RAFAEL</t>
  </si>
  <si>
    <t>3º SGT HUMBERTO</t>
  </si>
  <si>
    <t>3º SGT TÚLIO</t>
  </si>
  <si>
    <t>3º SGT  DAN</t>
  </si>
  <si>
    <t xml:space="preserve">CB ALVARENGA </t>
  </si>
  <si>
    <t>CB RÔMULO</t>
  </si>
  <si>
    <t>CB IARA</t>
  </si>
  <si>
    <t>CB VINICIUS CORDEIRO</t>
  </si>
  <si>
    <t>CB GUILHERME PERIM</t>
  </si>
  <si>
    <t>CB JACQUES</t>
  </si>
  <si>
    <t>CB STEPHANIE</t>
  </si>
  <si>
    <t>CB CUPERTINO</t>
  </si>
  <si>
    <t>CB JOÃO VICTOR</t>
  </si>
  <si>
    <t>CB RIDOLF</t>
  </si>
  <si>
    <t>CB CAROLINE</t>
  </si>
  <si>
    <t>CB HENRIQUE LOPES</t>
  </si>
  <si>
    <t>CB ELEUTÉRIO</t>
  </si>
  <si>
    <t>SD ROSARIO</t>
  </si>
  <si>
    <t>SD BEN-HUR</t>
  </si>
  <si>
    <t>SD BORBA</t>
  </si>
  <si>
    <t>ANTIGUIDADE</t>
  </si>
  <si>
    <t xml:space="preserve">NOME DE GUERRA </t>
  </si>
  <si>
    <t>FUNCIONAL</t>
  </si>
  <si>
    <t>OPERADOR D</t>
  </si>
  <si>
    <t>CB PARADIZO</t>
  </si>
  <si>
    <t>CB PAGANOTTO</t>
  </si>
  <si>
    <t>CB ASSIS</t>
  </si>
  <si>
    <t>3º SGT KARINA</t>
  </si>
  <si>
    <t>CB DERICK</t>
  </si>
  <si>
    <t>SD CLAUDIO</t>
  </si>
  <si>
    <t>SD LOURENCINI</t>
  </si>
  <si>
    <t>CB FABRE</t>
  </si>
  <si>
    <t>CB FAJOLI</t>
  </si>
  <si>
    <t>CB ANDRÉ LUIS</t>
  </si>
  <si>
    <t>CB PONTES</t>
  </si>
  <si>
    <t>CB FLEGUER</t>
  </si>
  <si>
    <t>1º SGT MATTOS</t>
  </si>
  <si>
    <t>CB MELLINA</t>
  </si>
  <si>
    <t>SD CAUÊ LYRA</t>
  </si>
  <si>
    <t xml:space="preserve">13:10 ÀS 19:10 </t>
  </si>
  <si>
    <t>NO MOMENTO DA PASSAGEM DE SERVIÇO SE FOR CONSTATADA A NECESSIDADE DEVIDO A BAIXA DE MILITAR  NA EQUIPE QUE ASSUME O SERVIÇO</t>
  </si>
  <si>
    <t>FDS</t>
  </si>
  <si>
    <t>SALVAMAR 2</t>
  </si>
  <si>
    <t>manutenção ar condicionado</t>
  </si>
  <si>
    <t>SD CÔRTES</t>
  </si>
  <si>
    <t xml:space="preserve">SD LOUREIRO </t>
  </si>
  <si>
    <t>SD DANILO</t>
  </si>
  <si>
    <t>SD EMMANOEL</t>
  </si>
  <si>
    <t>CB IERACITANO</t>
  </si>
  <si>
    <t>CB ANDRÉ SOUZA</t>
  </si>
  <si>
    <t>CB ESMAEL</t>
  </si>
  <si>
    <t>CB BERGI</t>
  </si>
  <si>
    <t>ESCALA ESPECIAL - 1ª QUINZENA DE SETEMBRO</t>
  </si>
  <si>
    <t>1º TEN ALINE</t>
  </si>
  <si>
    <t>CAP MENDES</t>
  </si>
  <si>
    <t>2º TEN  BENTO</t>
  </si>
  <si>
    <t>2º TEN NOVAES</t>
  </si>
  <si>
    <t>2º TEN STTOFEL</t>
  </si>
  <si>
    <t>ST RODRIGUES</t>
  </si>
  <si>
    <t>CMD</t>
  </si>
  <si>
    <t>CONDUTOR B</t>
  </si>
  <si>
    <t>=SE('01 A 14 SET'!C16="";"-";'01 A 14 SET'!C16)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</si>
  <si>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</si>
  <si>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</si>
  <si>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</si>
  <si>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</si>
  <si>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</si>
  <si>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</si>
  <si>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</si>
  <si>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</si>
  <si>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</si>
  <si>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</si>
  <si>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</si>
  <si>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</si>
  <si>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</si>
  <si>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</si>
  <si>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 xml:space="preserve">tirar aos domingos </t>
  </si>
  <si>
    <t>2º TEN RR GERALDO</t>
  </si>
  <si>
    <t xml:space="preserve">1ºSGT HEVERTON </t>
  </si>
  <si>
    <t>2º SGT BARCELLOS</t>
  </si>
  <si>
    <t>2º SGT ALEXANDRE</t>
  </si>
  <si>
    <t>2º SGT HIIBNER</t>
  </si>
  <si>
    <t>1º SGT DILSON</t>
  </si>
  <si>
    <t xml:space="preserve">1ºSGT LUCIANA </t>
  </si>
  <si>
    <t>3º SGT GASTALDI</t>
  </si>
  <si>
    <t>SD DANILO VIEIRA</t>
  </si>
  <si>
    <t>SD SCARAMUSSA</t>
  </si>
  <si>
    <t>SD NORONHA</t>
  </si>
  <si>
    <t>ST RENILDO</t>
  </si>
  <si>
    <t>3º SGT BRUNO MELO</t>
  </si>
  <si>
    <t>CB SCALZER</t>
  </si>
  <si>
    <t>CB RAIAN</t>
  </si>
  <si>
    <t>CB LUCIANO</t>
  </si>
  <si>
    <t>LIC</t>
  </si>
  <si>
    <t>A PARTIR 18/02</t>
  </si>
  <si>
    <t xml:space="preserve">licença paternindade e férias </t>
  </si>
  <si>
    <t>29</t>
  </si>
  <si>
    <t>30</t>
  </si>
  <si>
    <t>BRAVO1</t>
  </si>
  <si>
    <t>M</t>
  </si>
  <si>
    <t>V</t>
  </si>
  <si>
    <t>12:00 ÀS 18:00</t>
  </si>
  <si>
    <t>CB GODOY</t>
  </si>
  <si>
    <t>A</t>
  </si>
  <si>
    <t>CB VITOR MIRANDA</t>
  </si>
  <si>
    <t>TC SIWAMY</t>
  </si>
  <si>
    <t>MAJ GABRIELA</t>
  </si>
  <si>
    <t>1º TEN VASSEM</t>
  </si>
  <si>
    <t>2º TEN NATÃ</t>
  </si>
  <si>
    <t>OF DE OPERAÇÕES</t>
  </si>
  <si>
    <t>SUB CMD</t>
  </si>
  <si>
    <t>CMD BATALHÃO</t>
  </si>
  <si>
    <t>DIS</t>
  </si>
  <si>
    <t>31</t>
  </si>
  <si>
    <t>ESCALA ESPECIAL - 1ª QUINZENA DE MAIO</t>
  </si>
  <si>
    <t>ESCALA ESPECIAL - 2ª QUINZENA DE MAIO</t>
  </si>
  <si>
    <t>NÃO TIROU</t>
  </si>
  <si>
    <t>m</t>
  </si>
  <si>
    <t>XXX</t>
  </si>
  <si>
    <t>SD CAUE LYRA</t>
  </si>
  <si>
    <t>SGT HOFFMAM</t>
  </si>
  <si>
    <t xml:space="preserve">CB PAGANOTO </t>
  </si>
  <si>
    <t xml:space="preserve">SD BEN HUR </t>
  </si>
  <si>
    <t>SGT BRUNO MELO</t>
  </si>
  <si>
    <t>SGT HEVERTON/ CB GODOY</t>
  </si>
  <si>
    <t>SGT GASTALDI/ CB LAUF</t>
  </si>
  <si>
    <t>SGT HOMERO</t>
  </si>
  <si>
    <t>SGT KARINA</t>
  </si>
  <si>
    <t>CB KREUS</t>
  </si>
  <si>
    <t>CB ROMULO</t>
  </si>
  <si>
    <t>SGT LOUZADA</t>
  </si>
  <si>
    <t>SGT TULIO</t>
  </si>
  <si>
    <t>CB JOAO VICTOR</t>
  </si>
  <si>
    <t>XXXX</t>
  </si>
  <si>
    <t>CB ANDRÉ LUIS/ CB BERGI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</si>
</sst>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6]d;@"/>
  </numFmts>
  <fonts count="60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b/>
      <sz val="14"/>
      <color indexed="12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10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sz val="10"/>
      <color indexed="62"/>
      <name val="Arial"/>
      <family val="2"/>
    </font>
    <font>
      <b/>
      <u/>
      <sz val="1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4"/>
      <color indexed="8"/>
      <name val="Calibri"/>
      <family val="2"/>
    </font>
    <font>
      <b/>
      <sz val="14"/>
      <color indexed="8"/>
      <name val="Calibri"/>
      <family val="2"/>
    </font>
    <font>
      <b/>
      <sz val="10"/>
      <color indexed="8"/>
      <name val="Arial"/>
      <family val="2"/>
    </font>
    <font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b/>
      <sz val="10"/>
      <color rgb="FF00B050"/>
      <name val="Arial"/>
      <family val="2"/>
    </font>
    <font>
      <b/>
      <sz val="12"/>
      <color rgb="FFFF000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FF0000"/>
      <name val="Arial"/>
      <family val="2"/>
    </font>
    <font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2"/>
      <name val="Calibri"/>
      <family val="2"/>
      <scheme val="minor"/>
    </font>
    <font>
      <sz val="16"/>
      <name val="Arial"/>
      <family val="2"/>
    </font>
    <font>
      <sz val="12"/>
      <color rgb="FFFF0000"/>
      <name val="Arial"/>
      <family val="2"/>
    </font>
    <font>
      <b/>
      <sz val="16"/>
      <color rgb="FFFF0000"/>
      <name val="Arial"/>
      <family val="2"/>
    </font>
    <font>
      <sz val="14"/>
      <color rgb="FFFF0000"/>
      <name val="Arial"/>
      <family val="2"/>
    </font>
    <font>
      <b/>
      <sz val="10"/>
      <color rgb="FF212529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b/>
      <sz val="11"/>
      <color rgb="FFC00000"/>
      <name val="Arial"/>
      <family val="2"/>
    </font>
    <font>
      <b/>
      <sz val="16"/>
      <name val="Arial"/>
      <family val="2"/>
    </font>
    <font>
      <b/>
      <sz val="11"/>
      <color theme="1"/>
      <name val="Arial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22"/>
      <color rgb="FFFF0000"/>
      <name val="Arial"/>
      <family val="2"/>
    </font>
    <font>
      <sz val="22"/>
      <name val="Arial"/>
      <family val="2"/>
    </font>
    <font>
      <b/>
      <sz val="12"/>
      <color theme="0"/>
      <name val="Arial"/>
      <family val="2"/>
    </font>
    <font>
      <b/>
      <sz val="10"/>
      <color rgb="FF000000"/>
      <name val="Arial"/>
      <family val="2"/>
    </font>
    <font>
      <b/>
      <sz val="11"/>
      <color theme="1" tint="4.9989318521683403E-2"/>
      <name val="Arial"/>
      <family val="2"/>
    </font>
    <font>
      <sz val="12"/>
      <color theme="1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29B95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</fills>
  <borders count="8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6">
    <xf numFmtId="0" fontId="0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2" fillId="0" borderId="0"/>
    <xf numFmtId="0" fontId="3" fillId="0" borderId="0"/>
    <xf numFmtId="0" fontId="3" fillId="0" borderId="0"/>
    <xf numFmtId="0" fontId="22" fillId="0" borderId="0"/>
    <xf numFmtId="0" fontId="3" fillId="0" borderId="0"/>
    <xf numFmtId="0" fontId="3" fillId="0" borderId="0"/>
    <xf numFmtId="0" fontId="22" fillId="0" borderId="0"/>
    <xf numFmtId="0" fontId="7" fillId="0" borderId="0"/>
    <xf numFmtId="0" fontId="7" fillId="0" borderId="0"/>
    <xf numFmtId="0" fontId="6" fillId="0" borderId="1" applyNumberFormat="0" applyFill="0" applyAlignment="0" applyProtection="0"/>
  </cellStyleXfs>
  <cellXfs count="1343">
    <xf numFmtId="0" fontId="0" fillId="0" borderId="0" xfId="0"/>
    <xf numFmtId="0" fontId="0" fillId="0" borderId="0" xfId="0" applyProtection="1">
      <protection locked="0"/>
    </xf>
    <xf numFmtId="0" fontId="1" fillId="0" borderId="0" xfId="5" applyFont="1" applyAlignment="1" applyProtection="1">
      <alignment horizontal="center"/>
      <protection locked="0"/>
    </xf>
    <xf numFmtId="0" fontId="3" fillId="0" borderId="0" xfId="5" applyProtection="1">
      <protection locked="0"/>
    </xf>
    <xf numFmtId="0" fontId="0" fillId="4" borderId="0" xfId="0" applyFill="1" applyProtection="1">
      <protection locked="0"/>
    </xf>
    <xf numFmtId="0" fontId="3" fillId="0" borderId="2" xfId="5" applyBorder="1" applyAlignment="1" applyProtection="1">
      <alignment horizontal="center"/>
      <protection locked="0"/>
    </xf>
    <xf numFmtId="0" fontId="24" fillId="0" borderId="0" xfId="0" applyFont="1" applyAlignment="1" applyProtection="1">
      <alignment vertical="center"/>
      <protection locked="0"/>
    </xf>
    <xf numFmtId="0" fontId="3" fillId="5" borderId="2" xfId="5" applyFill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2" fillId="0" borderId="4" xfId="5" applyFont="1" applyBorder="1" applyAlignment="1" applyProtection="1">
      <alignment horizontal="center" vertical="center" wrapText="1"/>
      <protection locked="0"/>
    </xf>
    <xf numFmtId="0" fontId="0" fillId="0" borderId="5" xfId="0" applyBorder="1" applyAlignment="1" applyProtection="1">
      <alignment horizontal="center"/>
      <protection locked="0"/>
    </xf>
    <xf numFmtId="0" fontId="3" fillId="5" borderId="5" xfId="5" applyFill="1" applyBorder="1" applyAlignment="1" applyProtection="1">
      <alignment horizontal="center"/>
      <protection locked="0"/>
    </xf>
    <xf numFmtId="0" fontId="3" fillId="0" borderId="5" xfId="5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5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3" fillId="0" borderId="8" xfId="5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3" fillId="0" borderId="10" xfId="5" applyBorder="1" applyAlignment="1" applyProtection="1">
      <alignment horizontal="center"/>
      <protection locked="0"/>
    </xf>
    <xf numFmtId="0" fontId="3" fillId="5" borderId="5" xfId="0" applyFont="1" applyFill="1" applyBorder="1" applyAlignment="1" applyProtection="1">
      <alignment horizontal="center"/>
      <protection locked="0"/>
    </xf>
    <xf numFmtId="0" fontId="3" fillId="0" borderId="11" xfId="5" applyBorder="1" applyAlignment="1" applyProtection="1">
      <alignment horizontal="center"/>
      <protection locked="0"/>
    </xf>
    <xf numFmtId="0" fontId="3" fillId="0" borderId="12" xfId="5" applyBorder="1" applyAlignment="1" applyProtection="1">
      <alignment horizontal="center"/>
      <protection locked="0"/>
    </xf>
    <xf numFmtId="0" fontId="3" fillId="0" borderId="12" xfId="0" applyFont="1" applyBorder="1" applyAlignment="1" applyProtection="1">
      <alignment horizontal="center"/>
      <protection locked="0"/>
    </xf>
    <xf numFmtId="0" fontId="3" fillId="0" borderId="13" xfId="5" applyBorder="1" applyAlignment="1" applyProtection="1">
      <alignment horizontal="center" wrapText="1"/>
      <protection locked="0"/>
    </xf>
    <xf numFmtId="0" fontId="3" fillId="0" borderId="12" xfId="5" applyBorder="1" applyAlignment="1" applyProtection="1">
      <alignment horizontal="center" wrapText="1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2" fillId="0" borderId="15" xfId="0" applyFont="1" applyBorder="1" applyProtection="1"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16" xfId="0" applyFont="1" applyBorder="1" applyAlignment="1" applyProtection="1">
      <alignment horizontal="center"/>
      <protection locked="0"/>
    </xf>
    <xf numFmtId="0" fontId="2" fillId="0" borderId="17" xfId="0" applyFont="1" applyBorder="1" applyAlignment="1" applyProtection="1">
      <alignment horizontal="center"/>
      <protection locked="0"/>
    </xf>
    <xf numFmtId="0" fontId="2" fillId="0" borderId="3" xfId="0" applyFont="1" applyBorder="1" applyProtection="1">
      <protection locked="0"/>
    </xf>
    <xf numFmtId="0" fontId="2" fillId="0" borderId="18" xfId="0" applyFont="1" applyBorder="1" applyProtection="1">
      <protection locked="0"/>
    </xf>
    <xf numFmtId="0" fontId="2" fillId="0" borderId="19" xfId="0" applyFont="1" applyBorder="1" applyProtection="1">
      <protection locked="0"/>
    </xf>
    <xf numFmtId="0" fontId="2" fillId="0" borderId="15" xfId="5" applyFont="1" applyBorder="1" applyProtection="1">
      <protection locked="0"/>
    </xf>
    <xf numFmtId="0" fontId="2" fillId="0" borderId="20" xfId="5" applyFont="1" applyBorder="1" applyAlignment="1" applyProtection="1">
      <alignment horizontal="center"/>
      <protection locked="0"/>
    </xf>
    <xf numFmtId="0" fontId="2" fillId="0" borderId="21" xfId="5" applyFont="1" applyBorder="1" applyAlignment="1" applyProtection="1">
      <alignment horizontal="center"/>
      <protection locked="0"/>
    </xf>
    <xf numFmtId="0" fontId="2" fillId="0" borderId="22" xfId="5" applyFont="1" applyBorder="1" applyAlignment="1" applyProtection="1">
      <alignment horizontal="center"/>
      <protection locked="0"/>
    </xf>
    <xf numFmtId="0" fontId="2" fillId="0" borderId="21" xfId="5" applyFont="1" applyBorder="1" applyProtection="1">
      <protection locked="0"/>
    </xf>
    <xf numFmtId="0" fontId="2" fillId="0" borderId="18" xfId="5" applyFont="1" applyBorder="1" applyProtection="1">
      <protection locked="0"/>
    </xf>
    <xf numFmtId="0" fontId="2" fillId="0" borderId="19" xfId="5" applyFont="1" applyBorder="1" applyProtection="1">
      <protection locked="0"/>
    </xf>
    <xf numFmtId="0" fontId="2" fillId="0" borderId="19" xfId="5" applyFont="1" applyBorder="1" applyAlignment="1" applyProtection="1">
      <alignment horizontal="center" vertical="center"/>
      <protection locked="0"/>
    </xf>
    <xf numFmtId="0" fontId="10" fillId="0" borderId="19" xfId="5" applyFont="1" applyBorder="1" applyAlignment="1" applyProtection="1">
      <alignment horizontal="center"/>
      <protection locked="0"/>
    </xf>
    <xf numFmtId="0" fontId="2" fillId="0" borderId="23" xfId="5" applyFont="1" applyBorder="1" applyProtection="1">
      <protection locked="0"/>
    </xf>
    <xf numFmtId="0" fontId="2" fillId="0" borderId="6" xfId="5" applyFont="1" applyBorder="1" applyAlignment="1" applyProtection="1">
      <alignment horizontal="center"/>
      <protection locked="0"/>
    </xf>
    <xf numFmtId="0" fontId="2" fillId="0" borderId="15" xfId="5" applyFont="1" applyBorder="1" applyAlignment="1" applyProtection="1">
      <alignment horizontal="center"/>
      <protection locked="0"/>
    </xf>
    <xf numFmtId="0" fontId="2" fillId="0" borderId="24" xfId="5" applyFont="1" applyBorder="1" applyAlignment="1" applyProtection="1">
      <alignment horizontal="center"/>
      <protection locked="0"/>
    </xf>
    <xf numFmtId="0" fontId="2" fillId="0" borderId="23" xfId="0" applyFont="1" applyBorder="1" applyProtection="1">
      <protection locked="0"/>
    </xf>
    <xf numFmtId="0" fontId="2" fillId="0" borderId="10" xfId="5" applyFont="1" applyBorder="1" applyProtection="1">
      <protection locked="0"/>
    </xf>
    <xf numFmtId="0" fontId="2" fillId="0" borderId="2" xfId="5" applyFont="1" applyBorder="1" applyProtection="1"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2" xfId="5" applyFont="1" applyBorder="1" applyAlignment="1" applyProtection="1">
      <alignment horizontal="center" vertical="center"/>
      <protection locked="0"/>
    </xf>
    <xf numFmtId="0" fontId="2" fillId="0" borderId="19" xfId="5" applyFont="1" applyBorder="1" applyAlignment="1" applyProtection="1">
      <alignment horizontal="center"/>
      <protection locked="0"/>
    </xf>
    <xf numFmtId="0" fontId="26" fillId="4" borderId="0" xfId="0" applyFont="1" applyFill="1" applyProtection="1">
      <protection locked="0"/>
    </xf>
    <xf numFmtId="0" fontId="27" fillId="4" borderId="0" xfId="0" applyFont="1" applyFill="1" applyProtection="1">
      <protection locked="0"/>
    </xf>
    <xf numFmtId="0" fontId="8" fillId="4" borderId="0" xfId="5" applyFont="1" applyFill="1" applyAlignment="1" applyProtection="1">
      <alignment horizontal="center"/>
      <protection locked="0"/>
    </xf>
    <xf numFmtId="0" fontId="28" fillId="4" borderId="0" xfId="0" applyFont="1" applyFill="1" applyAlignment="1" applyProtection="1">
      <alignment horizontal="center"/>
      <protection locked="0"/>
    </xf>
    <xf numFmtId="0" fontId="26" fillId="4" borderId="0" xfId="5" applyFont="1" applyFill="1" applyAlignment="1" applyProtection="1">
      <alignment horizontal="center"/>
      <protection locked="0"/>
    </xf>
    <xf numFmtId="0" fontId="9" fillId="4" borderId="0" xfId="0" applyFont="1" applyFill="1" applyAlignment="1" applyProtection="1">
      <alignment horizontal="center"/>
      <protection locked="0"/>
    </xf>
    <xf numFmtId="0" fontId="3" fillId="0" borderId="23" xfId="5" applyBorder="1" applyAlignment="1" applyProtection="1">
      <alignment horizontal="center" vertical="center"/>
      <protection locked="0"/>
    </xf>
    <xf numFmtId="0" fontId="3" fillId="0" borderId="23" xfId="0" applyFont="1" applyBorder="1" applyAlignment="1" applyProtection="1">
      <alignment horizontal="center" vertical="center"/>
      <protection locked="0"/>
    </xf>
    <xf numFmtId="0" fontId="3" fillId="0" borderId="18" xfId="5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3" fillId="0" borderId="25" xfId="0" applyFont="1" applyBorder="1" applyAlignment="1">
      <alignment horizontal="center"/>
    </xf>
    <xf numFmtId="0" fontId="3" fillId="0" borderId="0" xfId="0" applyFont="1" applyProtection="1">
      <protection locked="0"/>
    </xf>
    <xf numFmtId="0" fontId="29" fillId="0" borderId="0" xfId="5" applyFont="1" applyProtection="1">
      <protection locked="0"/>
    </xf>
    <xf numFmtId="0" fontId="30" fillId="0" borderId="15" xfId="5" applyFont="1" applyBorder="1" applyAlignment="1" applyProtection="1">
      <alignment horizontal="center"/>
      <protection locked="0"/>
    </xf>
    <xf numFmtId="0" fontId="30" fillId="0" borderId="15" xfId="0" applyFont="1" applyBorder="1" applyAlignment="1" applyProtection="1">
      <alignment horizontal="center"/>
      <protection locked="0"/>
    </xf>
    <xf numFmtId="0" fontId="3" fillId="0" borderId="26" xfId="0" applyFont="1" applyBorder="1" applyAlignment="1" applyProtection="1">
      <alignment horizontal="center" vertical="center"/>
      <protection locked="0"/>
    </xf>
    <xf numFmtId="0" fontId="3" fillId="4" borderId="0" xfId="5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26" fillId="6" borderId="15" xfId="0" applyFont="1" applyFill="1" applyBorder="1" applyAlignment="1" applyProtection="1">
      <alignment horizontal="center"/>
      <protection locked="0"/>
    </xf>
    <xf numFmtId="0" fontId="3" fillId="0" borderId="28" xfId="0" applyFont="1" applyBorder="1" applyAlignment="1">
      <alignment horizontal="center" vertical="center"/>
    </xf>
    <xf numFmtId="0" fontId="26" fillId="4" borderId="15" xfId="0" applyFont="1" applyFill="1" applyBorder="1" applyAlignment="1" applyProtection="1">
      <alignment horizontal="center"/>
      <protection locked="0"/>
    </xf>
    <xf numFmtId="0" fontId="26" fillId="4" borderId="0" xfId="0" applyFont="1" applyFill="1" applyAlignment="1" applyProtection="1">
      <alignment horizontal="center"/>
      <protection locked="0"/>
    </xf>
    <xf numFmtId="0" fontId="3" fillId="0" borderId="0" xfId="5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19" xfId="0" applyBorder="1" applyAlignment="1">
      <alignment horizontal="center" vertical="center"/>
    </xf>
    <xf numFmtId="0" fontId="2" fillId="0" borderId="27" xfId="5" applyFont="1" applyBorder="1" applyAlignment="1" applyProtection="1">
      <alignment horizontal="center" vertical="center" wrapText="1"/>
      <protection locked="0"/>
    </xf>
    <xf numFmtId="0" fontId="1" fillId="5" borderId="3" xfId="0" applyFont="1" applyFill="1" applyBorder="1" applyAlignment="1" applyProtection="1">
      <alignment horizontal="center"/>
      <protection locked="0"/>
    </xf>
    <xf numFmtId="0" fontId="1" fillId="0" borderId="2" xfId="5" applyFont="1" applyBorder="1" applyAlignment="1" applyProtection="1">
      <alignment horizontal="center"/>
      <protection locked="0"/>
    </xf>
    <xf numFmtId="0" fontId="3" fillId="0" borderId="23" xfId="0" applyFont="1" applyBorder="1" applyProtection="1">
      <protection locked="0"/>
    </xf>
    <xf numFmtId="0" fontId="0" fillId="0" borderId="23" xfId="0" applyBorder="1" applyProtection="1">
      <protection locked="0"/>
    </xf>
    <xf numFmtId="0" fontId="3" fillId="0" borderId="23" xfId="5" applyBorder="1" applyProtection="1">
      <protection locked="0"/>
    </xf>
    <xf numFmtId="0" fontId="29" fillId="0" borderId="23" xfId="0" applyFont="1" applyBorder="1" applyProtection="1">
      <protection locked="0"/>
    </xf>
    <xf numFmtId="0" fontId="29" fillId="0" borderId="29" xfId="0" applyFont="1" applyBorder="1" applyProtection="1">
      <protection locked="0"/>
    </xf>
    <xf numFmtId="0" fontId="3" fillId="0" borderId="18" xfId="0" applyFont="1" applyBorder="1" applyProtection="1">
      <protection locked="0"/>
    </xf>
    <xf numFmtId="0" fontId="3" fillId="0" borderId="18" xfId="5" applyBorder="1" applyProtection="1">
      <protection locked="0"/>
    </xf>
    <xf numFmtId="0" fontId="3" fillId="0" borderId="10" xfId="5" applyBorder="1" applyProtection="1">
      <protection locked="0"/>
    </xf>
    <xf numFmtId="0" fontId="26" fillId="0" borderId="19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6" fontId="11" fillId="0" borderId="0" xfId="0" applyNumberFormat="1" applyFont="1" applyAlignment="1">
      <alignment horizontal="center" vertical="center"/>
    </xf>
    <xf numFmtId="0" fontId="26" fillId="0" borderId="0" xfId="0" applyFont="1" applyAlignment="1" applyProtection="1">
      <alignment horizontal="center" vertical="center"/>
      <protection locked="0"/>
    </xf>
    <xf numFmtId="0" fontId="3" fillId="0" borderId="31" xfId="5" applyBorder="1" applyAlignment="1" applyProtection="1">
      <alignment horizontal="center" vertical="center"/>
      <protection locked="0"/>
    </xf>
    <xf numFmtId="0" fontId="3" fillId="4" borderId="19" xfId="5" applyFill="1" applyBorder="1" applyAlignment="1" applyProtection="1">
      <alignment horizontal="center"/>
      <protection locked="0"/>
    </xf>
    <xf numFmtId="0" fontId="31" fillId="4" borderId="15" xfId="5" applyFont="1" applyFill="1" applyBorder="1" applyAlignment="1" applyProtection="1">
      <alignment horizontal="center"/>
      <protection locked="0"/>
    </xf>
    <xf numFmtId="0" fontId="0" fillId="4" borderId="18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31" fillId="4" borderId="19" xfId="0" applyFont="1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26" fillId="4" borderId="19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26" fillId="4" borderId="23" xfId="0" applyFont="1" applyFill="1" applyBorder="1" applyAlignment="1" applyProtection="1">
      <alignment horizontal="center" vertical="center"/>
      <protection locked="0"/>
    </xf>
    <xf numFmtId="0" fontId="26" fillId="4" borderId="15" xfId="0" applyFont="1" applyFill="1" applyBorder="1" applyAlignment="1" applyProtection="1">
      <alignment horizontal="center" vertical="center"/>
      <protection locked="0"/>
    </xf>
    <xf numFmtId="0" fontId="1" fillId="4" borderId="15" xfId="0" applyFont="1" applyFill="1" applyBorder="1" applyAlignment="1" applyProtection="1">
      <alignment horizontal="center" vertical="center"/>
      <protection locked="0"/>
    </xf>
    <xf numFmtId="0" fontId="26" fillId="4" borderId="15" xfId="5" applyFont="1" applyFill="1" applyBorder="1" applyAlignment="1" applyProtection="1">
      <alignment horizontal="center" vertical="center"/>
      <protection locked="0"/>
    </xf>
    <xf numFmtId="0" fontId="26" fillId="4" borderId="10" xfId="0" applyFont="1" applyFill="1" applyBorder="1" applyAlignment="1" applyProtection="1">
      <alignment horizontal="center" vertical="center"/>
      <protection locked="0"/>
    </xf>
    <xf numFmtId="0" fontId="26" fillId="4" borderId="2" xfId="0" applyFont="1" applyFill="1" applyBorder="1" applyAlignment="1" applyProtection="1">
      <alignment horizontal="center" vertical="center"/>
      <protection locked="0"/>
    </xf>
    <xf numFmtId="0" fontId="1" fillId="4" borderId="2" xfId="0" applyFont="1" applyFill="1" applyBorder="1" applyAlignment="1" applyProtection="1">
      <alignment horizontal="center" vertical="center"/>
      <protection locked="0"/>
    </xf>
    <xf numFmtId="0" fontId="3" fillId="4" borderId="2" xfId="5" applyFill="1" applyBorder="1" applyAlignment="1" applyProtection="1">
      <alignment horizontal="center" vertical="center"/>
      <protection locked="0"/>
    </xf>
    <xf numFmtId="0" fontId="26" fillId="4" borderId="2" xfId="5" applyFont="1" applyFill="1" applyBorder="1" applyAlignment="1" applyProtection="1">
      <alignment horizontal="center" vertical="center"/>
      <protection locked="0"/>
    </xf>
    <xf numFmtId="0" fontId="26" fillId="4" borderId="3" xfId="0" applyFont="1" applyFill="1" applyBorder="1" applyAlignment="1">
      <alignment horizontal="center" vertical="center"/>
    </xf>
    <xf numFmtId="0" fontId="26" fillId="4" borderId="15" xfId="0" applyFont="1" applyFill="1" applyBorder="1" applyAlignment="1" applyProtection="1">
      <alignment vertical="center"/>
      <protection locked="0"/>
    </xf>
    <xf numFmtId="0" fontId="26" fillId="4" borderId="21" xfId="0" applyFont="1" applyFill="1" applyBorder="1" applyAlignment="1" applyProtection="1">
      <alignment vertical="center"/>
      <protection locked="0"/>
    </xf>
    <xf numFmtId="0" fontId="26" fillId="4" borderId="33" xfId="0" applyFont="1" applyFill="1" applyBorder="1" applyAlignment="1" applyProtection="1">
      <alignment horizontal="center" vertical="center"/>
      <protection locked="0"/>
    </xf>
    <xf numFmtId="0" fontId="0" fillId="4" borderId="30" xfId="0" applyFill="1" applyBorder="1" applyAlignment="1">
      <alignment horizontal="center" vertical="center"/>
    </xf>
    <xf numFmtId="0" fontId="28" fillId="4" borderId="5" xfId="0" applyFont="1" applyFill="1" applyBorder="1" applyAlignment="1" applyProtection="1">
      <alignment horizontal="center" vertical="center"/>
      <protection locked="0"/>
    </xf>
    <xf numFmtId="0" fontId="28" fillId="4" borderId="2" xfId="0" applyFont="1" applyFill="1" applyBorder="1" applyAlignment="1" applyProtection="1">
      <alignment horizontal="center" vertical="center"/>
      <protection locked="0"/>
    </xf>
    <xf numFmtId="0" fontId="1" fillId="4" borderId="3" xfId="0" applyFont="1" applyFill="1" applyBorder="1" applyAlignment="1" applyProtection="1">
      <alignment horizontal="center"/>
      <protection locked="0"/>
    </xf>
    <xf numFmtId="0" fontId="1" fillId="4" borderId="2" xfId="5" applyFont="1" applyFill="1" applyBorder="1" applyAlignment="1" applyProtection="1">
      <alignment horizontal="center"/>
      <protection locked="0"/>
    </xf>
    <xf numFmtId="0" fontId="0" fillId="4" borderId="25" xfId="0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8" fillId="4" borderId="8" xfId="0" applyFont="1" applyFill="1" applyBorder="1" applyAlignment="1" applyProtection="1">
      <alignment horizontal="center" vertical="center"/>
      <protection locked="0"/>
    </xf>
    <xf numFmtId="0" fontId="26" fillId="4" borderId="34" xfId="0" applyFont="1" applyFill="1" applyBorder="1" applyAlignment="1" applyProtection="1">
      <alignment horizontal="center"/>
      <protection locked="0"/>
    </xf>
    <xf numFmtId="0" fontId="32" fillId="4" borderId="0" xfId="0" applyFont="1" applyFill="1" applyAlignment="1" applyProtection="1">
      <alignment horizontal="center"/>
      <protection locked="0"/>
    </xf>
    <xf numFmtId="0" fontId="26" fillId="0" borderId="0" xfId="0" applyFont="1" applyProtection="1">
      <protection locked="0"/>
    </xf>
    <xf numFmtId="0" fontId="1" fillId="4" borderId="2" xfId="0" applyFont="1" applyFill="1" applyBorder="1" applyAlignment="1" applyProtection="1">
      <alignment horizontal="center"/>
      <protection locked="0"/>
    </xf>
    <xf numFmtId="0" fontId="33" fillId="4" borderId="33" xfId="0" applyFont="1" applyFill="1" applyBorder="1" applyAlignment="1" applyProtection="1">
      <alignment horizontal="center"/>
      <protection locked="0"/>
    </xf>
    <xf numFmtId="0" fontId="0" fillId="0" borderId="35" xfId="0" applyBorder="1" applyAlignment="1">
      <alignment horizontal="center" vertical="center"/>
    </xf>
    <xf numFmtId="0" fontId="3" fillId="0" borderId="29" xfId="5" applyBorder="1" applyProtection="1">
      <protection locked="0"/>
    </xf>
    <xf numFmtId="0" fontId="1" fillId="4" borderId="21" xfId="5" applyFont="1" applyFill="1" applyBorder="1" applyAlignment="1" applyProtection="1">
      <alignment horizontal="center"/>
      <protection locked="0"/>
    </xf>
    <xf numFmtId="0" fontId="27" fillId="7" borderId="19" xfId="5" applyFont="1" applyFill="1" applyBorder="1" applyAlignment="1" applyProtection="1">
      <alignment horizontal="center"/>
      <protection locked="0"/>
    </xf>
    <xf numFmtId="0" fontId="28" fillId="7" borderId="15" xfId="5" applyFont="1" applyFill="1" applyBorder="1" applyProtection="1">
      <protection locked="0"/>
    </xf>
    <xf numFmtId="0" fontId="26" fillId="7" borderId="15" xfId="0" applyFont="1" applyFill="1" applyBorder="1" applyProtection="1">
      <protection locked="0"/>
    </xf>
    <xf numFmtId="0" fontId="26" fillId="7" borderId="15" xfId="5" applyFont="1" applyFill="1" applyBorder="1" applyProtection="1">
      <protection locked="0"/>
    </xf>
    <xf numFmtId="0" fontId="1" fillId="7" borderId="15" xfId="5" applyFont="1" applyFill="1" applyBorder="1" applyAlignment="1" applyProtection="1">
      <alignment horizontal="center"/>
      <protection locked="0"/>
    </xf>
    <xf numFmtId="0" fontId="26" fillId="7" borderId="15" xfId="5" applyFont="1" applyFill="1" applyBorder="1" applyAlignment="1" applyProtection="1">
      <alignment horizontal="center"/>
      <protection locked="0"/>
    </xf>
    <xf numFmtId="0" fontId="0" fillId="7" borderId="19" xfId="0" applyFill="1" applyBorder="1" applyAlignment="1" applyProtection="1">
      <alignment horizontal="center"/>
      <protection locked="0"/>
    </xf>
    <xf numFmtId="0" fontId="31" fillId="7" borderId="15" xfId="5" applyFont="1" applyFill="1" applyBorder="1" applyAlignment="1" applyProtection="1">
      <alignment horizontal="center"/>
      <protection locked="0"/>
    </xf>
    <xf numFmtId="0" fontId="26" fillId="7" borderId="19" xfId="5" applyFont="1" applyFill="1" applyBorder="1" applyProtection="1">
      <protection locked="0"/>
    </xf>
    <xf numFmtId="0" fontId="26" fillId="7" borderId="15" xfId="0" applyFont="1" applyFill="1" applyBorder="1" applyAlignment="1" applyProtection="1">
      <alignment horizontal="center"/>
      <protection locked="0"/>
    </xf>
    <xf numFmtId="0" fontId="0" fillId="7" borderId="21" xfId="0" applyFill="1" applyBorder="1" applyAlignment="1" applyProtection="1">
      <alignment horizontal="center"/>
      <protection locked="0"/>
    </xf>
    <xf numFmtId="0" fontId="1" fillId="4" borderId="21" xfId="0" applyFont="1" applyFill="1" applyBorder="1" applyAlignment="1" applyProtection="1">
      <alignment horizontal="center"/>
      <protection locked="0"/>
    </xf>
    <xf numFmtId="0" fontId="26" fillId="7" borderId="21" xfId="5" applyFont="1" applyFill="1" applyBorder="1" applyProtection="1">
      <protection locked="0"/>
    </xf>
    <xf numFmtId="0" fontId="1" fillId="7" borderId="21" xfId="5" applyFont="1" applyFill="1" applyBorder="1" applyAlignment="1" applyProtection="1">
      <alignment horizontal="center"/>
      <protection locked="0"/>
    </xf>
    <xf numFmtId="0" fontId="27" fillId="7" borderId="32" xfId="5" applyFont="1" applyFill="1" applyBorder="1" applyAlignment="1" applyProtection="1">
      <alignment horizontal="center"/>
      <protection locked="0"/>
    </xf>
    <xf numFmtId="0" fontId="26" fillId="7" borderId="19" xfId="0" applyFont="1" applyFill="1" applyBorder="1" applyProtection="1">
      <protection locked="0"/>
    </xf>
    <xf numFmtId="0" fontId="26" fillId="7" borderId="21" xfId="5" applyFont="1" applyFill="1" applyBorder="1" applyAlignment="1" applyProtection="1">
      <alignment horizontal="center"/>
      <protection locked="0"/>
    </xf>
    <xf numFmtId="0" fontId="26" fillId="7" borderId="2" xfId="5" applyFont="1" applyFill="1" applyBorder="1" applyAlignment="1" applyProtection="1">
      <alignment horizontal="center"/>
      <protection locked="0"/>
    </xf>
    <xf numFmtId="0" fontId="26" fillId="7" borderId="19" xfId="5" applyFont="1" applyFill="1" applyBorder="1" applyAlignment="1" applyProtection="1">
      <alignment horizontal="center"/>
      <protection locked="0"/>
    </xf>
    <xf numFmtId="0" fontId="32" fillId="7" borderId="21" xfId="0" applyFont="1" applyFill="1" applyBorder="1" applyAlignment="1" applyProtection="1">
      <alignment horizontal="center"/>
      <protection locked="0"/>
    </xf>
    <xf numFmtId="0" fontId="26" fillId="7" borderId="21" xfId="0" applyFont="1" applyFill="1" applyBorder="1" applyProtection="1">
      <protection locked="0"/>
    </xf>
    <xf numFmtId="0" fontId="3" fillId="4" borderId="15" xfId="5" applyFill="1" applyBorder="1" applyAlignment="1" applyProtection="1">
      <alignment horizontal="center" vertical="center"/>
      <protection locked="0"/>
    </xf>
    <xf numFmtId="0" fontId="26" fillId="4" borderId="36" xfId="0" applyFont="1" applyFill="1" applyBorder="1" applyAlignment="1">
      <alignment horizontal="center" vertical="center"/>
    </xf>
    <xf numFmtId="0" fontId="26" fillId="4" borderId="15" xfId="0" applyFont="1" applyFill="1" applyBorder="1" applyAlignment="1">
      <alignment horizontal="center" vertical="center"/>
    </xf>
    <xf numFmtId="0" fontId="0" fillId="4" borderId="15" xfId="0" applyFill="1" applyBorder="1" applyAlignment="1">
      <alignment vertical="center"/>
    </xf>
    <xf numFmtId="0" fontId="1" fillId="7" borderId="19" xfId="5" applyFont="1" applyFill="1" applyBorder="1" applyAlignment="1" applyProtection="1">
      <alignment horizontal="center"/>
      <protection locked="0"/>
    </xf>
    <xf numFmtId="0" fontId="28" fillId="4" borderId="3" xfId="0" applyFont="1" applyFill="1" applyBorder="1" applyAlignment="1" applyProtection="1">
      <alignment horizontal="center" vertical="center"/>
      <protection locked="0"/>
    </xf>
    <xf numFmtId="0" fontId="26" fillId="6" borderId="0" xfId="0" applyFont="1" applyFill="1" applyAlignment="1" applyProtection="1">
      <alignment horizontal="center"/>
      <protection locked="0"/>
    </xf>
    <xf numFmtId="0" fontId="26" fillId="4" borderId="37" xfId="0" applyFont="1" applyFill="1" applyBorder="1" applyAlignment="1" applyProtection="1">
      <alignment horizontal="center" vertical="center"/>
      <protection locked="0"/>
    </xf>
    <xf numFmtId="0" fontId="3" fillId="4" borderId="15" xfId="5" applyFill="1" applyBorder="1" applyAlignment="1" applyProtection="1">
      <alignment horizontal="center"/>
      <protection locked="0"/>
    </xf>
    <xf numFmtId="0" fontId="3" fillId="4" borderId="2" xfId="5" applyFill="1" applyBorder="1" applyAlignment="1" applyProtection="1">
      <alignment horizontal="center"/>
      <protection locked="0"/>
    </xf>
    <xf numFmtId="0" fontId="23" fillId="4" borderId="25" xfId="0" applyFont="1" applyFill="1" applyBorder="1" applyAlignment="1">
      <alignment horizontal="center"/>
    </xf>
    <xf numFmtId="0" fontId="23" fillId="4" borderId="38" xfId="0" applyFont="1" applyFill="1" applyBorder="1" applyAlignment="1">
      <alignment horizontal="center"/>
    </xf>
    <xf numFmtId="0" fontId="23" fillId="0" borderId="25" xfId="0" applyFont="1" applyBorder="1" applyAlignment="1">
      <alignment horizontal="center" vertical="center"/>
    </xf>
    <xf numFmtId="0" fontId="23" fillId="4" borderId="36" xfId="0" applyFont="1" applyFill="1" applyBorder="1" applyAlignment="1">
      <alignment horizontal="center"/>
    </xf>
    <xf numFmtId="0" fontId="29" fillId="0" borderId="10" xfId="0" applyFont="1" applyBorder="1" applyProtection="1">
      <protection locked="0"/>
    </xf>
    <xf numFmtId="0" fontId="26" fillId="7" borderId="2" xfId="5" applyFont="1" applyFill="1" applyBorder="1" applyProtection="1">
      <protection locked="0"/>
    </xf>
    <xf numFmtId="0" fontId="29" fillId="0" borderId="31" xfId="0" applyFont="1" applyBorder="1" applyProtection="1">
      <protection locked="0"/>
    </xf>
    <xf numFmtId="0" fontId="29" fillId="0" borderId="0" xfId="0" applyFont="1" applyProtection="1">
      <protection locked="0"/>
    </xf>
    <xf numFmtId="0" fontId="3" fillId="0" borderId="0" xfId="5" applyAlignment="1" applyProtection="1">
      <alignment horizontal="center"/>
      <protection locked="0"/>
    </xf>
    <xf numFmtId="0" fontId="29" fillId="0" borderId="39" xfId="0" applyFont="1" applyBorder="1" applyProtection="1">
      <protection locked="0"/>
    </xf>
    <xf numFmtId="0" fontId="3" fillId="0" borderId="39" xfId="5" applyBorder="1" applyAlignment="1" applyProtection="1">
      <alignment horizontal="center"/>
      <protection locked="0"/>
    </xf>
    <xf numFmtId="0" fontId="23" fillId="0" borderId="39" xfId="0" applyFont="1" applyBorder="1" applyAlignment="1">
      <alignment horizontal="center"/>
    </xf>
    <xf numFmtId="0" fontId="2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39" xfId="0" applyFont="1" applyBorder="1" applyAlignment="1" applyProtection="1">
      <alignment wrapTex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23" fillId="4" borderId="0" xfId="0" applyFont="1" applyFill="1" applyAlignment="1">
      <alignment horizontal="center"/>
    </xf>
    <xf numFmtId="0" fontId="3" fillId="4" borderId="25" xfId="5" applyFill="1" applyBorder="1" applyAlignment="1" applyProtection="1">
      <alignment horizontal="center" vertical="center"/>
      <protection locked="0"/>
    </xf>
    <xf numFmtId="0" fontId="3" fillId="4" borderId="24" xfId="5" applyFill="1" applyBorder="1" applyAlignment="1" applyProtection="1">
      <alignment horizontal="center" vertical="center"/>
      <protection locked="0"/>
    </xf>
    <xf numFmtId="0" fontId="1" fillId="4" borderId="40" xfId="0" applyFont="1" applyFill="1" applyBorder="1" applyAlignment="1" applyProtection="1">
      <alignment horizontal="center"/>
      <protection locked="0"/>
    </xf>
    <xf numFmtId="0" fontId="33" fillId="5" borderId="3" xfId="0" applyFont="1" applyFill="1" applyBorder="1" applyAlignment="1" applyProtection="1">
      <alignment horizontal="center"/>
      <protection locked="0"/>
    </xf>
    <xf numFmtId="0" fontId="33" fillId="4" borderId="17" xfId="0" applyFont="1" applyFill="1" applyBorder="1" applyAlignment="1" applyProtection="1">
      <alignment horizontal="center"/>
      <protection locked="0"/>
    </xf>
    <xf numFmtId="0" fontId="1" fillId="4" borderId="41" xfId="0" applyFont="1" applyFill="1" applyBorder="1" applyAlignment="1" applyProtection="1">
      <alignment horizontal="center"/>
      <protection locked="0"/>
    </xf>
    <xf numFmtId="0" fontId="33" fillId="4" borderId="41" xfId="0" applyFont="1" applyFill="1" applyBorder="1" applyAlignment="1" applyProtection="1">
      <alignment horizontal="center"/>
      <protection locked="0"/>
    </xf>
    <xf numFmtId="0" fontId="1" fillId="4" borderId="10" xfId="5" applyFont="1" applyFill="1" applyBorder="1" applyAlignment="1" applyProtection="1">
      <alignment horizontal="center"/>
      <protection locked="0"/>
    </xf>
    <xf numFmtId="0" fontId="33" fillId="4" borderId="42" xfId="0" applyFont="1" applyFill="1" applyBorder="1" applyAlignment="1" applyProtection="1">
      <alignment horizontal="center"/>
      <protection locked="0"/>
    </xf>
    <xf numFmtId="0" fontId="26" fillId="0" borderId="19" xfId="5" applyFont="1" applyBorder="1" applyAlignment="1" applyProtection="1">
      <alignment horizontal="center"/>
      <protection locked="0"/>
    </xf>
    <xf numFmtId="0" fontId="27" fillId="0" borderId="19" xfId="5" applyFont="1" applyBorder="1" applyAlignment="1" applyProtection="1">
      <alignment horizontal="center"/>
      <protection locked="0"/>
    </xf>
    <xf numFmtId="0" fontId="27" fillId="0" borderId="32" xfId="5" applyFont="1" applyBorder="1" applyAlignment="1" applyProtection="1">
      <alignment horizontal="center"/>
      <protection locked="0"/>
    </xf>
    <xf numFmtId="0" fontId="26" fillId="0" borderId="32" xfId="5" applyFont="1" applyBorder="1" applyAlignment="1" applyProtection="1">
      <alignment horizontal="center"/>
      <protection locked="0"/>
    </xf>
    <xf numFmtId="0" fontId="3" fillId="0" borderId="32" xfId="5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6" fillId="0" borderId="21" xfId="5" applyFont="1" applyBorder="1" applyProtection="1">
      <protection locked="0"/>
    </xf>
    <xf numFmtId="0" fontId="30" fillId="0" borderId="21" xfId="0" applyFont="1" applyBorder="1" applyAlignment="1" applyProtection="1">
      <alignment horizontal="center"/>
      <protection locked="0"/>
    </xf>
    <xf numFmtId="0" fontId="28" fillId="0" borderId="21" xfId="5" applyFont="1" applyBorder="1" applyProtection="1">
      <protection locked="0"/>
    </xf>
    <xf numFmtId="0" fontId="28" fillId="0" borderId="15" xfId="5" applyFont="1" applyBorder="1" applyProtection="1">
      <protection locked="0"/>
    </xf>
    <xf numFmtId="0" fontId="28" fillId="0" borderId="15" xfId="5" applyFont="1" applyBorder="1" applyAlignment="1" applyProtection="1">
      <alignment horizontal="center"/>
      <protection locked="0"/>
    </xf>
    <xf numFmtId="0" fontId="28" fillId="0" borderId="19" xfId="5" applyFont="1" applyBorder="1" applyProtection="1">
      <protection locked="0"/>
    </xf>
    <xf numFmtId="0" fontId="26" fillId="0" borderId="3" xfId="5" applyFont="1" applyBorder="1" applyAlignment="1" applyProtection="1">
      <alignment horizontal="center"/>
      <protection locked="0"/>
    </xf>
    <xf numFmtId="0" fontId="30" fillId="0" borderId="19" xfId="0" applyFont="1" applyBorder="1" applyAlignment="1" applyProtection="1">
      <alignment horizontal="center"/>
      <protection locked="0"/>
    </xf>
    <xf numFmtId="0" fontId="26" fillId="0" borderId="19" xfId="0" applyFont="1" applyBorder="1" applyProtection="1">
      <protection locked="0"/>
    </xf>
    <xf numFmtId="0" fontId="26" fillId="0" borderId="19" xfId="0" applyFont="1" applyBorder="1" applyAlignment="1" applyProtection="1">
      <alignment horizontal="center"/>
      <protection locked="0"/>
    </xf>
    <xf numFmtId="0" fontId="30" fillId="0" borderId="34" xfId="0" applyFont="1" applyBorder="1" applyAlignment="1" applyProtection="1">
      <alignment horizontal="center"/>
      <protection locked="0"/>
    </xf>
    <xf numFmtId="0" fontId="26" fillId="0" borderId="15" xfId="5" applyFont="1" applyBorder="1" applyAlignment="1" applyProtection="1">
      <alignment horizontal="center"/>
      <protection locked="0"/>
    </xf>
    <xf numFmtId="0" fontId="26" fillId="0" borderId="15" xfId="0" applyFont="1" applyBorder="1" applyProtection="1">
      <protection locked="0"/>
    </xf>
    <xf numFmtId="0" fontId="26" fillId="0" borderId="15" xfId="0" applyFont="1" applyBorder="1" applyAlignment="1" applyProtection="1">
      <alignment horizontal="center"/>
      <protection locked="0"/>
    </xf>
    <xf numFmtId="0" fontId="30" fillId="0" borderId="19" xfId="5" applyFont="1" applyBorder="1" applyAlignment="1" applyProtection="1">
      <alignment horizontal="center"/>
      <protection locked="0"/>
    </xf>
    <xf numFmtId="0" fontId="26" fillId="0" borderId="19" xfId="5" applyFont="1" applyBorder="1" applyProtection="1">
      <protection locked="0"/>
    </xf>
    <xf numFmtId="0" fontId="27" fillId="0" borderId="19" xfId="0" applyFont="1" applyBorder="1" applyAlignment="1" applyProtection="1">
      <alignment horizontal="center"/>
      <protection locked="0"/>
    </xf>
    <xf numFmtId="0" fontId="1" fillId="0" borderId="19" xfId="5" applyFont="1" applyBorder="1" applyAlignment="1" applyProtection="1">
      <alignment horizontal="center"/>
      <protection locked="0"/>
    </xf>
    <xf numFmtId="0" fontId="26" fillId="0" borderId="15" xfId="5" applyFont="1" applyBorder="1" applyProtection="1">
      <protection locked="0"/>
    </xf>
    <xf numFmtId="0" fontId="27" fillId="0" borderId="15" xfId="0" applyFont="1" applyBorder="1" applyAlignment="1" applyProtection="1">
      <alignment horizontal="center"/>
      <protection locked="0"/>
    </xf>
    <xf numFmtId="0" fontId="1" fillId="0" borderId="15" xfId="5" applyFont="1" applyBorder="1" applyAlignment="1" applyProtection="1">
      <alignment horizontal="center"/>
      <protection locked="0"/>
    </xf>
    <xf numFmtId="0" fontId="0" fillId="0" borderId="15" xfId="0" applyBorder="1" applyProtection="1">
      <protection locked="0"/>
    </xf>
    <xf numFmtId="0" fontId="31" fillId="0" borderId="15" xfId="5" applyFont="1" applyBorder="1" applyAlignment="1" applyProtection="1">
      <alignment horizontal="center"/>
      <protection locked="0"/>
    </xf>
    <xf numFmtId="0" fontId="31" fillId="0" borderId="21" xfId="5" applyFont="1" applyBorder="1" applyAlignment="1" applyProtection="1">
      <alignment horizontal="center"/>
      <protection locked="0"/>
    </xf>
    <xf numFmtId="0" fontId="0" fillId="0" borderId="21" xfId="0" applyBorder="1" applyProtection="1">
      <protection locked="0"/>
    </xf>
    <xf numFmtId="0" fontId="26" fillId="0" borderId="32" xfId="5" applyFont="1" applyBorder="1" applyProtection="1">
      <protection locked="0"/>
    </xf>
    <xf numFmtId="0" fontId="26" fillId="0" borderId="30" xfId="5" applyFont="1" applyBorder="1" applyAlignment="1" applyProtection="1">
      <alignment horizontal="center"/>
      <protection locked="0"/>
    </xf>
    <xf numFmtId="0" fontId="28" fillId="0" borderId="2" xfId="5" applyFont="1" applyBorder="1" applyAlignment="1" applyProtection="1">
      <alignment horizontal="center"/>
      <protection locked="0"/>
    </xf>
    <xf numFmtId="0" fontId="26" fillId="0" borderId="2" xfId="5" applyFont="1" applyBorder="1" applyProtection="1"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3" fillId="0" borderId="36" xfId="0" applyFont="1" applyBorder="1" applyAlignment="1">
      <alignment horizontal="center"/>
    </xf>
    <xf numFmtId="0" fontId="23" fillId="4" borderId="25" xfId="0" applyFont="1" applyFill="1" applyBorder="1" applyAlignment="1">
      <alignment horizontal="center" vertical="center"/>
    </xf>
    <xf numFmtId="0" fontId="23" fillId="4" borderId="33" xfId="0" applyFont="1" applyFill="1" applyBorder="1" applyAlignment="1">
      <alignment horizontal="center"/>
    </xf>
    <xf numFmtId="0" fontId="1" fillId="4" borderId="29" xfId="5" applyFont="1" applyFill="1" applyBorder="1" applyAlignment="1" applyProtection="1">
      <alignment horizontal="center"/>
      <protection locked="0"/>
    </xf>
    <xf numFmtId="0" fontId="33" fillId="4" borderId="43" xfId="0" applyFont="1" applyFill="1" applyBorder="1" applyAlignment="1" applyProtection="1">
      <alignment horizontal="center"/>
      <protection locked="0"/>
    </xf>
    <xf numFmtId="0" fontId="27" fillId="0" borderId="15" xfId="5" applyFont="1" applyBorder="1" applyAlignment="1" applyProtection="1">
      <alignment horizontal="center"/>
      <protection locked="0"/>
    </xf>
    <xf numFmtId="0" fontId="3" fillId="0" borderId="15" xfId="5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26" fillId="0" borderId="21" xfId="0" applyFont="1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0" fontId="1" fillId="0" borderId="21" xfId="0" applyFont="1" applyBorder="1" applyAlignment="1" applyProtection="1">
      <alignment horizontal="center"/>
      <protection locked="0"/>
    </xf>
    <xf numFmtId="0" fontId="1" fillId="0" borderId="15" xfId="0" applyFont="1" applyBorder="1" applyAlignment="1" applyProtection="1">
      <alignment horizontal="center"/>
      <protection locked="0"/>
    </xf>
    <xf numFmtId="0" fontId="9" fillId="0" borderId="15" xfId="5" applyFont="1" applyBorder="1" applyAlignment="1" applyProtection="1">
      <alignment horizontal="center"/>
      <protection locked="0"/>
    </xf>
    <xf numFmtId="0" fontId="30" fillId="0" borderId="21" xfId="5" applyFont="1" applyBorder="1" applyAlignment="1" applyProtection="1">
      <alignment horizontal="center"/>
      <protection locked="0"/>
    </xf>
    <xf numFmtId="0" fontId="26" fillId="0" borderId="25" xfId="5" applyFont="1" applyBorder="1" applyProtection="1">
      <protection locked="0"/>
    </xf>
    <xf numFmtId="0" fontId="30" fillId="0" borderId="2" xfId="5" applyFont="1" applyBorder="1" applyAlignment="1" applyProtection="1">
      <alignment horizontal="center"/>
      <protection locked="0"/>
    </xf>
    <xf numFmtId="0" fontId="26" fillId="0" borderId="2" xfId="5" applyFont="1" applyBorder="1" applyAlignment="1" applyProtection="1">
      <alignment horizontal="center"/>
      <protection locked="0"/>
    </xf>
    <xf numFmtId="0" fontId="0" fillId="0" borderId="2" xfId="0" applyBorder="1" applyProtection="1">
      <protection locked="0"/>
    </xf>
    <xf numFmtId="0" fontId="25" fillId="0" borderId="15" xfId="0" applyFont="1" applyBorder="1" applyAlignment="1" applyProtection="1">
      <alignment horizontal="center" vertical="center"/>
      <protection locked="0"/>
    </xf>
    <xf numFmtId="0" fontId="26" fillId="0" borderId="21" xfId="5" applyFont="1" applyBorder="1" applyAlignment="1" applyProtection="1">
      <alignment horizontal="center"/>
      <protection locked="0"/>
    </xf>
    <xf numFmtId="0" fontId="28" fillId="0" borderId="19" xfId="5" applyFont="1" applyBorder="1" applyAlignment="1" applyProtection="1">
      <alignment horizontal="center"/>
      <protection locked="0"/>
    </xf>
    <xf numFmtId="0" fontId="0" fillId="0" borderId="19" xfId="0" applyBorder="1" applyProtection="1">
      <protection locked="0"/>
    </xf>
    <xf numFmtId="0" fontId="23" fillId="0" borderId="38" xfId="0" applyFont="1" applyBorder="1" applyAlignment="1">
      <alignment horizontal="center" vertical="center"/>
    </xf>
    <xf numFmtId="0" fontId="26" fillId="0" borderId="21" xfId="0" applyFont="1" applyBorder="1" applyProtection="1">
      <protection locked="0"/>
    </xf>
    <xf numFmtId="0" fontId="32" fillId="0" borderId="21" xfId="0" applyFont="1" applyBorder="1" applyAlignment="1" applyProtection="1">
      <alignment horizontal="center"/>
      <protection locked="0"/>
    </xf>
    <xf numFmtId="0" fontId="26" fillId="0" borderId="2" xfId="0" applyFont="1" applyBorder="1" applyProtection="1">
      <protection locked="0"/>
    </xf>
    <xf numFmtId="0" fontId="23" fillId="0" borderId="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/>
    </xf>
    <xf numFmtId="0" fontId="3" fillId="0" borderId="40" xfId="5" applyBorder="1" applyProtection="1">
      <protection locked="0"/>
    </xf>
    <xf numFmtId="0" fontId="1" fillId="4" borderId="17" xfId="5" applyFont="1" applyFill="1" applyBorder="1" applyAlignment="1" applyProtection="1">
      <alignment horizontal="center" vertical="center"/>
      <protection locked="0"/>
    </xf>
    <xf numFmtId="0" fontId="1" fillId="4" borderId="17" xfId="5" applyFont="1" applyFill="1" applyBorder="1" applyAlignment="1" applyProtection="1">
      <alignment horizontal="center" vertical="center" wrapText="1"/>
      <protection locked="0"/>
    </xf>
    <xf numFmtId="0" fontId="27" fillId="0" borderId="3" xfId="5" applyFont="1" applyBorder="1" applyAlignment="1" applyProtection="1">
      <alignment horizontal="center"/>
      <protection locked="0"/>
    </xf>
    <xf numFmtId="0" fontId="27" fillId="7" borderId="3" xfId="5" applyFont="1" applyFill="1" applyBorder="1" applyAlignment="1" applyProtection="1">
      <alignment horizontal="center"/>
      <protection locked="0"/>
    </xf>
    <xf numFmtId="0" fontId="3" fillId="7" borderId="3" xfId="5" applyFill="1" applyBorder="1" applyAlignment="1" applyProtection="1">
      <alignment horizontal="center"/>
      <protection locked="0"/>
    </xf>
    <xf numFmtId="0" fontId="3" fillId="0" borderId="3" xfId="5" applyBorder="1" applyAlignment="1" applyProtection="1">
      <alignment horizontal="center"/>
      <protection locked="0"/>
    </xf>
    <xf numFmtId="0" fontId="27" fillId="0" borderId="41" xfId="5" applyFont="1" applyBorder="1" applyAlignment="1" applyProtection="1">
      <alignment horizontal="center"/>
      <protection locked="0"/>
    </xf>
    <xf numFmtId="0" fontId="1" fillId="4" borderId="36" xfId="5" applyFont="1" applyFill="1" applyBorder="1" applyAlignment="1" applyProtection="1">
      <alignment horizontal="center" vertical="center"/>
      <protection locked="0"/>
    </xf>
    <xf numFmtId="0" fontId="1" fillId="4" borderId="36" xfId="5" applyFont="1" applyFill="1" applyBorder="1" applyAlignment="1" applyProtection="1">
      <alignment horizontal="center" vertical="center" wrapText="1"/>
      <protection locked="0"/>
    </xf>
    <xf numFmtId="0" fontId="27" fillId="7" borderId="15" xfId="5" applyFont="1" applyFill="1" applyBorder="1" applyAlignment="1" applyProtection="1">
      <alignment horizontal="center"/>
      <protection locked="0"/>
    </xf>
    <xf numFmtId="0" fontId="3" fillId="7" borderId="15" xfId="5" applyFill="1" applyBorder="1" applyAlignment="1" applyProtection="1">
      <alignment horizontal="center"/>
      <protection locked="0"/>
    </xf>
    <xf numFmtId="0" fontId="27" fillId="0" borderId="44" xfId="5" applyFont="1" applyBorder="1" applyAlignment="1" applyProtection="1">
      <alignment horizontal="center"/>
      <protection locked="0"/>
    </xf>
    <xf numFmtId="0" fontId="27" fillId="0" borderId="45" xfId="5" applyFont="1" applyBorder="1" applyAlignment="1" applyProtection="1">
      <alignment horizontal="center"/>
      <protection locked="0"/>
    </xf>
    <xf numFmtId="0" fontId="3" fillId="4" borderId="15" xfId="5" applyFill="1" applyBorder="1" applyProtection="1">
      <protection locked="0"/>
    </xf>
    <xf numFmtId="0" fontId="26" fillId="7" borderId="36" xfId="0" applyFont="1" applyFill="1" applyBorder="1" applyAlignment="1" applyProtection="1">
      <alignment horizontal="center"/>
      <protection locked="0"/>
    </xf>
    <xf numFmtId="0" fontId="26" fillId="0" borderId="44" xfId="0" applyFont="1" applyBorder="1" applyProtection="1">
      <protection locked="0"/>
    </xf>
    <xf numFmtId="0" fontId="28" fillId="7" borderId="21" xfId="5" applyFont="1" applyFill="1" applyBorder="1" applyProtection="1">
      <protection locked="0"/>
    </xf>
    <xf numFmtId="0" fontId="28" fillId="7" borderId="15" xfId="5" applyFont="1" applyFill="1" applyBorder="1" applyAlignment="1" applyProtection="1">
      <alignment horizontal="center"/>
      <protection locked="0"/>
    </xf>
    <xf numFmtId="0" fontId="30" fillId="0" borderId="46" xfId="0" applyFont="1" applyBorder="1" applyAlignment="1" applyProtection="1">
      <alignment horizontal="center"/>
      <protection locked="0"/>
    </xf>
    <xf numFmtId="0" fontId="30" fillId="0" borderId="44" xfId="0" applyFont="1" applyBorder="1" applyAlignment="1" applyProtection="1">
      <alignment horizontal="center"/>
      <protection locked="0"/>
    </xf>
    <xf numFmtId="0" fontId="27" fillId="7" borderId="15" xfId="0" applyFont="1" applyFill="1" applyBorder="1" applyAlignment="1" applyProtection="1">
      <alignment horizontal="center"/>
      <protection locked="0"/>
    </xf>
    <xf numFmtId="0" fontId="26" fillId="0" borderId="44" xfId="5" applyFont="1" applyBorder="1" applyProtection="1">
      <protection locked="0"/>
    </xf>
    <xf numFmtId="0" fontId="3" fillId="4" borderId="15" xfId="5" applyFill="1" applyBorder="1" applyAlignment="1" applyProtection="1">
      <alignment horizontal="left"/>
      <protection locked="0"/>
    </xf>
    <xf numFmtId="0" fontId="3" fillId="0" borderId="25" xfId="5" applyBorder="1" applyProtection="1">
      <protection locked="0"/>
    </xf>
    <xf numFmtId="0" fontId="31" fillId="0" borderId="44" xfId="5" applyFont="1" applyBorder="1" applyAlignment="1" applyProtection="1">
      <alignment horizontal="center"/>
      <protection locked="0"/>
    </xf>
    <xf numFmtId="0" fontId="3" fillId="4" borderId="21" xfId="5" applyFill="1" applyBorder="1" applyAlignment="1" applyProtection="1">
      <alignment horizontal="left"/>
      <protection locked="0"/>
    </xf>
    <xf numFmtId="0" fontId="3" fillId="0" borderId="38" xfId="5" applyBorder="1" applyProtection="1">
      <protection locked="0"/>
    </xf>
    <xf numFmtId="0" fontId="27" fillId="7" borderId="21" xfId="0" applyFont="1" applyFill="1" applyBorder="1" applyAlignment="1" applyProtection="1">
      <alignment horizontal="center"/>
      <protection locked="0"/>
    </xf>
    <xf numFmtId="0" fontId="31" fillId="0" borderId="43" xfId="5" applyFont="1" applyBorder="1" applyAlignment="1" applyProtection="1">
      <alignment horizontal="center"/>
      <protection locked="0"/>
    </xf>
    <xf numFmtId="0" fontId="3" fillId="4" borderId="2" xfId="5" applyFill="1" applyBorder="1" applyProtection="1">
      <protection locked="0"/>
    </xf>
    <xf numFmtId="0" fontId="3" fillId="0" borderId="33" xfId="5" applyBorder="1" applyAlignment="1" applyProtection="1">
      <alignment horizontal="center"/>
      <protection locked="0"/>
    </xf>
    <xf numFmtId="0" fontId="28" fillId="7" borderId="2" xfId="5" applyFont="1" applyFill="1" applyBorder="1" applyAlignment="1" applyProtection="1">
      <alignment horizontal="center"/>
      <protection locked="0"/>
    </xf>
    <xf numFmtId="0" fontId="3" fillId="7" borderId="2" xfId="5" applyFill="1" applyBorder="1" applyAlignment="1" applyProtection="1">
      <alignment horizontal="center"/>
      <protection locked="0"/>
    </xf>
    <xf numFmtId="0" fontId="26" fillId="0" borderId="42" xfId="0" applyFont="1" applyBorder="1" applyAlignment="1" applyProtection="1">
      <alignment horizontal="center"/>
      <protection locked="0"/>
    </xf>
    <xf numFmtId="0" fontId="3" fillId="0" borderId="40" xfId="0" applyFont="1" applyBorder="1" applyProtection="1">
      <protection locked="0"/>
    </xf>
    <xf numFmtId="0" fontId="3" fillId="0" borderId="3" xfId="0" applyFont="1" applyBorder="1" applyProtection="1">
      <protection locked="0"/>
    </xf>
    <xf numFmtId="0" fontId="1" fillId="0" borderId="17" xfId="5" applyFont="1" applyBorder="1" applyAlignment="1" applyProtection="1">
      <alignment horizontal="center"/>
      <protection locked="0"/>
    </xf>
    <xf numFmtId="0" fontId="3" fillId="0" borderId="47" xfId="5" applyBorder="1" applyAlignment="1" applyProtection="1">
      <alignment horizontal="center"/>
      <protection locked="0"/>
    </xf>
    <xf numFmtId="0" fontId="26" fillId="7" borderId="3" xfId="5" applyFont="1" applyFill="1" applyBorder="1" applyAlignment="1" applyProtection="1">
      <alignment horizontal="center"/>
      <protection locked="0"/>
    </xf>
    <xf numFmtId="0" fontId="3" fillId="0" borderId="41" xfId="5" applyBorder="1" applyAlignment="1" applyProtection="1">
      <alignment horizontal="center"/>
      <protection locked="0"/>
    </xf>
    <xf numFmtId="0" fontId="3" fillId="0" borderId="19" xfId="0" applyFont="1" applyBorder="1" applyProtection="1">
      <protection locked="0"/>
    </xf>
    <xf numFmtId="0" fontId="1" fillId="0" borderId="36" xfId="5" applyFont="1" applyBorder="1" applyAlignment="1" applyProtection="1">
      <alignment horizontal="center"/>
      <protection locked="0"/>
    </xf>
    <xf numFmtId="0" fontId="3" fillId="0" borderId="44" xfId="5" applyBorder="1" applyAlignment="1" applyProtection="1">
      <alignment horizontal="center"/>
      <protection locked="0"/>
    </xf>
    <xf numFmtId="0" fontId="27" fillId="0" borderId="21" xfId="5" applyFont="1" applyBorder="1" applyAlignment="1" applyProtection="1">
      <alignment horizontal="center"/>
      <protection locked="0"/>
    </xf>
    <xf numFmtId="0" fontId="3" fillId="0" borderId="15" xfId="0" applyFont="1" applyBorder="1" applyProtection="1">
      <protection locked="0"/>
    </xf>
    <xf numFmtId="0" fontId="1" fillId="0" borderId="25" xfId="5" applyFont="1" applyBorder="1" applyAlignment="1" applyProtection="1">
      <alignment horizontal="center"/>
      <protection locked="0"/>
    </xf>
    <xf numFmtId="0" fontId="0" fillId="7" borderId="15" xfId="0" applyFill="1" applyBorder="1" applyProtection="1">
      <protection locked="0"/>
    </xf>
    <xf numFmtId="0" fontId="25" fillId="0" borderId="44" xfId="0" applyFont="1" applyBorder="1" applyAlignment="1" applyProtection="1">
      <alignment horizontal="center" vertical="center"/>
      <protection locked="0"/>
    </xf>
    <xf numFmtId="0" fontId="1" fillId="4" borderId="33" xfId="5" applyFont="1" applyFill="1" applyBorder="1" applyAlignment="1" applyProtection="1">
      <alignment horizontal="center"/>
      <protection locked="0"/>
    </xf>
    <xf numFmtId="0" fontId="25" fillId="0" borderId="42" xfId="0" applyFont="1" applyBorder="1" applyAlignment="1" applyProtection="1">
      <alignment horizontal="center" vertical="center"/>
      <protection locked="0"/>
    </xf>
    <xf numFmtId="0" fontId="1" fillId="4" borderId="3" xfId="5" applyFont="1" applyFill="1" applyBorder="1" applyAlignment="1" applyProtection="1">
      <alignment horizontal="center" vertical="center"/>
      <protection locked="0"/>
    </xf>
    <xf numFmtId="0" fontId="26" fillId="7" borderId="5" xfId="0" applyFont="1" applyFill="1" applyBorder="1" applyAlignment="1" applyProtection="1">
      <alignment horizontal="center"/>
      <protection locked="0"/>
    </xf>
    <xf numFmtId="0" fontId="26" fillId="0" borderId="5" xfId="0" applyFont="1" applyBorder="1" applyAlignment="1" applyProtection="1">
      <alignment horizontal="center"/>
      <protection locked="0"/>
    </xf>
    <xf numFmtId="0" fontId="26" fillId="0" borderId="5" xfId="0" applyFont="1" applyBorder="1" applyProtection="1">
      <protection locked="0"/>
    </xf>
    <xf numFmtId="0" fontId="26" fillId="7" borderId="5" xfId="0" applyFont="1" applyFill="1" applyBorder="1" applyProtection="1">
      <protection locked="0"/>
    </xf>
    <xf numFmtId="0" fontId="26" fillId="0" borderId="3" xfId="0" applyFont="1" applyBorder="1" applyProtection="1">
      <protection locked="0"/>
    </xf>
    <xf numFmtId="0" fontId="26" fillId="7" borderId="3" xfId="0" applyFont="1" applyFill="1" applyBorder="1" applyProtection="1">
      <protection locked="0"/>
    </xf>
    <xf numFmtId="0" fontId="26" fillId="0" borderId="48" xfId="0" applyFont="1" applyBorder="1" applyAlignment="1" applyProtection="1">
      <alignment horizontal="center"/>
      <protection locked="0"/>
    </xf>
    <xf numFmtId="0" fontId="1" fillId="4" borderId="15" xfId="5" applyFont="1" applyFill="1" applyBorder="1" applyAlignment="1" applyProtection="1">
      <alignment horizontal="center" vertical="center"/>
      <protection locked="0"/>
    </xf>
    <xf numFmtId="0" fontId="1" fillId="4" borderId="25" xfId="5" applyFont="1" applyFill="1" applyBorder="1" applyAlignment="1" applyProtection="1">
      <alignment horizontal="center" vertical="center" wrapText="1"/>
      <protection locked="0"/>
    </xf>
    <xf numFmtId="0" fontId="26" fillId="0" borderId="44" xfId="0" applyFont="1" applyBorder="1" applyAlignment="1" applyProtection="1">
      <alignment horizontal="center"/>
      <protection locked="0"/>
    </xf>
    <xf numFmtId="0" fontId="26" fillId="7" borderId="19" xfId="0" applyFont="1" applyFill="1" applyBorder="1" applyAlignment="1" applyProtection="1">
      <alignment horizontal="center"/>
      <protection locked="0"/>
    </xf>
    <xf numFmtId="0" fontId="3" fillId="0" borderId="15" xfId="5" applyBorder="1" applyAlignment="1" applyProtection="1">
      <alignment horizontal="left"/>
      <protection locked="0"/>
    </xf>
    <xf numFmtId="0" fontId="14" fillId="0" borderId="25" xfId="5" applyFont="1" applyBorder="1" applyAlignment="1" applyProtection="1">
      <alignment horizontal="center"/>
      <protection locked="0"/>
    </xf>
    <xf numFmtId="0" fontId="27" fillId="7" borderId="19" xfId="0" applyFont="1" applyFill="1" applyBorder="1" applyAlignment="1" applyProtection="1">
      <alignment horizontal="center"/>
      <protection locked="0"/>
    </xf>
    <xf numFmtId="0" fontId="26" fillId="7" borderId="25" xfId="5" applyFont="1" applyFill="1" applyBorder="1" applyProtection="1">
      <protection locked="0"/>
    </xf>
    <xf numFmtId="0" fontId="27" fillId="0" borderId="25" xfId="5" applyFont="1" applyBorder="1" applyProtection="1">
      <protection locked="0"/>
    </xf>
    <xf numFmtId="0" fontId="28" fillId="0" borderId="44" xfId="5" applyFont="1" applyBorder="1" applyProtection="1">
      <protection locked="0"/>
    </xf>
    <xf numFmtId="0" fontId="27" fillId="0" borderId="15" xfId="0" applyFont="1" applyBorder="1" applyAlignment="1" applyProtection="1">
      <alignment horizontal="left"/>
      <protection locked="0"/>
    </xf>
    <xf numFmtId="0" fontId="3" fillId="0" borderId="25" xfId="5" applyBorder="1" applyAlignment="1" applyProtection="1">
      <alignment horizontal="center"/>
      <protection locked="0"/>
    </xf>
    <xf numFmtId="0" fontId="26" fillId="0" borderId="46" xfId="5" applyFont="1" applyBorder="1" applyProtection="1">
      <protection locked="0"/>
    </xf>
    <xf numFmtId="0" fontId="27" fillId="0" borderId="2" xfId="0" applyFont="1" applyBorder="1" applyAlignment="1" applyProtection="1">
      <alignment horizontal="left"/>
      <protection locked="0"/>
    </xf>
    <xf numFmtId="0" fontId="31" fillId="0" borderId="2" xfId="5" applyFont="1" applyBorder="1" applyAlignment="1" applyProtection="1">
      <alignment horizontal="center"/>
      <protection locked="0"/>
    </xf>
    <xf numFmtId="0" fontId="26" fillId="0" borderId="42" xfId="5" applyFont="1" applyBorder="1" applyProtection="1">
      <protection locked="0"/>
    </xf>
    <xf numFmtId="0" fontId="3" fillId="4" borderId="3" xfId="5" applyFill="1" applyBorder="1" applyProtection="1">
      <protection locked="0"/>
    </xf>
    <xf numFmtId="0" fontId="26" fillId="0" borderId="5" xfId="5" applyFont="1" applyBorder="1" applyAlignment="1" applyProtection="1">
      <alignment horizontal="center"/>
      <protection locked="0"/>
    </xf>
    <xf numFmtId="0" fontId="26" fillId="7" borderId="5" xfId="5" applyFont="1" applyFill="1" applyBorder="1" applyAlignment="1" applyProtection="1">
      <alignment horizontal="center"/>
      <protection locked="0"/>
    </xf>
    <xf numFmtId="0" fontId="26" fillId="7" borderId="41" xfId="5" applyFont="1" applyFill="1" applyBorder="1" applyAlignment="1" applyProtection="1">
      <alignment horizontal="center"/>
      <protection locked="0"/>
    </xf>
    <xf numFmtId="0" fontId="26" fillId="7" borderId="34" xfId="0" applyFont="1" applyFill="1" applyBorder="1" applyProtection="1">
      <protection locked="0"/>
    </xf>
    <xf numFmtId="0" fontId="32" fillId="7" borderId="15" xfId="5" applyFont="1" applyFill="1" applyBorder="1" applyAlignment="1" applyProtection="1">
      <alignment horizontal="center"/>
      <protection locked="0"/>
    </xf>
    <xf numFmtId="0" fontId="34" fillId="7" borderId="44" xfId="0" applyFont="1" applyFill="1" applyBorder="1" applyAlignment="1" applyProtection="1">
      <alignment horizontal="center" vertical="center"/>
      <protection locked="0"/>
    </xf>
    <xf numFmtId="0" fontId="8" fillId="0" borderId="15" xfId="5" applyFont="1" applyBorder="1" applyAlignment="1" applyProtection="1">
      <alignment horizontal="center"/>
      <protection locked="0"/>
    </xf>
    <xf numFmtId="0" fontId="26" fillId="7" borderId="43" xfId="0" applyFont="1" applyFill="1" applyBorder="1" applyProtection="1">
      <protection locked="0"/>
    </xf>
    <xf numFmtId="0" fontId="26" fillId="7" borderId="44" xfId="5" applyFont="1" applyFill="1" applyBorder="1" applyProtection="1">
      <protection locked="0"/>
    </xf>
    <xf numFmtId="0" fontId="32" fillId="7" borderId="19" xfId="0" applyFont="1" applyFill="1" applyBorder="1" applyAlignment="1" applyProtection="1">
      <alignment horizontal="center"/>
      <protection locked="0"/>
    </xf>
    <xf numFmtId="0" fontId="34" fillId="7" borderId="46" xfId="0" applyFont="1" applyFill="1" applyBorder="1" applyAlignment="1" applyProtection="1">
      <alignment horizontal="center" vertical="center"/>
      <protection locked="0"/>
    </xf>
    <xf numFmtId="0" fontId="26" fillId="7" borderId="21" xfId="0" applyFont="1" applyFill="1" applyBorder="1" applyAlignment="1" applyProtection="1">
      <alignment horizontal="center"/>
      <protection locked="0"/>
    </xf>
    <xf numFmtId="0" fontId="8" fillId="0" borderId="25" xfId="5" applyFont="1" applyBorder="1" applyAlignment="1" applyProtection="1">
      <alignment horizontal="center"/>
      <protection locked="0"/>
    </xf>
    <xf numFmtId="0" fontId="32" fillId="0" borderId="34" xfId="0" applyFont="1" applyBorder="1" applyAlignment="1" applyProtection="1">
      <alignment horizontal="center"/>
      <protection locked="0"/>
    </xf>
    <xf numFmtId="0" fontId="27" fillId="4" borderId="15" xfId="5" applyFont="1" applyFill="1" applyBorder="1" applyProtection="1">
      <protection locked="0"/>
    </xf>
    <xf numFmtId="0" fontId="27" fillId="0" borderId="15" xfId="0" applyFont="1" applyBorder="1" applyProtection="1">
      <protection locked="0"/>
    </xf>
    <xf numFmtId="0" fontId="27" fillId="4" borderId="2" xfId="5" applyFont="1" applyFill="1" applyBorder="1" applyProtection="1">
      <protection locked="0"/>
    </xf>
    <xf numFmtId="0" fontId="27" fillId="0" borderId="2" xfId="0" applyFont="1" applyBorder="1" applyProtection="1">
      <protection locked="0"/>
    </xf>
    <xf numFmtId="0" fontId="30" fillId="0" borderId="2" xfId="0" applyFont="1" applyBorder="1" applyAlignment="1" applyProtection="1">
      <alignment horizontal="center"/>
      <protection locked="0"/>
    </xf>
    <xf numFmtId="0" fontId="26" fillId="7" borderId="42" xfId="0" applyFont="1" applyFill="1" applyBorder="1" applyProtection="1">
      <protection locked="0"/>
    </xf>
    <xf numFmtId="0" fontId="0" fillId="4" borderId="49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26" fillId="4" borderId="50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26" fillId="4" borderId="23" xfId="0" applyFont="1" applyFill="1" applyBorder="1" applyAlignment="1">
      <alignment vertical="center"/>
    </xf>
    <xf numFmtId="0" fontId="0" fillId="4" borderId="31" xfId="0" applyFill="1" applyBorder="1" applyAlignment="1">
      <alignment horizontal="center" vertical="center"/>
    </xf>
    <xf numFmtId="0" fontId="26" fillId="4" borderId="23" xfId="0" applyFont="1" applyFill="1" applyBorder="1" applyAlignment="1" applyProtection="1">
      <alignment vertical="center"/>
      <protection locked="0"/>
    </xf>
    <xf numFmtId="0" fontId="0" fillId="4" borderId="10" xfId="0" applyFill="1" applyBorder="1" applyAlignment="1">
      <alignment horizontal="center" vertical="center"/>
    </xf>
    <xf numFmtId="0" fontId="28" fillId="4" borderId="0" xfId="0" applyFont="1" applyFill="1" applyAlignment="1" applyProtection="1">
      <alignment horizontal="center" vertical="center"/>
      <protection locked="0"/>
    </xf>
    <xf numFmtId="0" fontId="28" fillId="4" borderId="39" xfId="0" applyFont="1" applyFill="1" applyBorder="1" applyAlignment="1" applyProtection="1">
      <alignment horizontal="center" vertical="center"/>
      <protection locked="0"/>
    </xf>
    <xf numFmtId="0" fontId="25" fillId="0" borderId="19" xfId="0" applyFont="1" applyBorder="1" applyAlignment="1" applyProtection="1">
      <alignment horizontal="center" vertical="center"/>
      <protection locked="0"/>
    </xf>
    <xf numFmtId="0" fontId="0" fillId="0" borderId="39" xfId="0" applyBorder="1" applyProtection="1">
      <protection locked="0"/>
    </xf>
    <xf numFmtId="0" fontId="25" fillId="0" borderId="39" xfId="0" applyFont="1" applyBorder="1" applyAlignment="1" applyProtection="1">
      <alignment horizontal="center" vertical="center"/>
      <protection locked="0"/>
    </xf>
    <xf numFmtId="0" fontId="25" fillId="0" borderId="2" xfId="0" applyFont="1" applyBorder="1" applyAlignment="1" applyProtection="1">
      <alignment horizontal="center" vertical="center"/>
      <protection locked="0"/>
    </xf>
    <xf numFmtId="0" fontId="0" fillId="0" borderId="51" xfId="0" applyBorder="1" applyProtection="1">
      <protection locked="0"/>
    </xf>
    <xf numFmtId="0" fontId="0" fillId="0" borderId="52" xfId="0" applyBorder="1" applyAlignment="1">
      <alignment horizontal="center" vertical="center"/>
    </xf>
    <xf numFmtId="0" fontId="0" fillId="6" borderId="49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26" fillId="6" borderId="19" xfId="0" applyFont="1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26" fillId="6" borderId="30" xfId="0" applyFont="1" applyFill="1" applyBorder="1" applyAlignment="1">
      <alignment horizontal="center" vertical="center"/>
    </xf>
    <xf numFmtId="0" fontId="26" fillId="6" borderId="36" xfId="0" applyFont="1" applyFill="1" applyBorder="1" applyAlignment="1">
      <alignment horizontal="center" vertical="center"/>
    </xf>
    <xf numFmtId="0" fontId="26" fillId="6" borderId="53" xfId="0" applyFont="1" applyFill="1" applyBorder="1" applyAlignment="1">
      <alignment horizontal="center" vertical="center"/>
    </xf>
    <xf numFmtId="0" fontId="26" fillId="6" borderId="15" xfId="0" applyFont="1" applyFill="1" applyBorder="1" applyAlignment="1">
      <alignment horizontal="center" vertical="center"/>
    </xf>
    <xf numFmtId="0" fontId="26" fillId="6" borderId="25" xfId="0" applyFont="1" applyFill="1" applyBorder="1" applyAlignment="1">
      <alignment horizontal="center" vertical="center"/>
    </xf>
    <xf numFmtId="0" fontId="26" fillId="6" borderId="46" xfId="0" applyFont="1" applyFill="1" applyBorder="1" applyAlignment="1">
      <alignment horizontal="center" vertical="center"/>
    </xf>
    <xf numFmtId="0" fontId="25" fillId="6" borderId="19" xfId="0" applyFont="1" applyFill="1" applyBorder="1" applyAlignment="1" applyProtection="1">
      <alignment horizontal="center" vertical="center"/>
      <protection locked="0"/>
    </xf>
    <xf numFmtId="0" fontId="23" fillId="0" borderId="15" xfId="0" applyFont="1" applyBorder="1" applyAlignment="1">
      <alignment horizontal="center" vertical="center"/>
    </xf>
    <xf numFmtId="0" fontId="3" fillId="0" borderId="29" xfId="0" applyFont="1" applyBorder="1" applyProtection="1">
      <protection locked="0"/>
    </xf>
    <xf numFmtId="0" fontId="3" fillId="0" borderId="0" xfId="0" applyFont="1" applyAlignment="1" applyProtection="1">
      <alignment wrapText="1"/>
      <protection locked="0"/>
    </xf>
    <xf numFmtId="0" fontId="23" fillId="0" borderId="33" xfId="0" applyFont="1" applyBorder="1" applyAlignment="1">
      <alignment horizontal="center" vertical="center"/>
    </xf>
    <xf numFmtId="0" fontId="3" fillId="5" borderId="23" xfId="0" applyFont="1" applyFill="1" applyBorder="1" applyProtection="1">
      <protection locked="0"/>
    </xf>
    <xf numFmtId="0" fontId="3" fillId="5" borderId="15" xfId="5" applyFill="1" applyBorder="1" applyAlignment="1" applyProtection="1">
      <alignment horizontal="center"/>
      <protection locked="0"/>
    </xf>
    <xf numFmtId="0" fontId="35" fillId="5" borderId="25" xfId="5" applyFont="1" applyFill="1" applyBorder="1" applyAlignment="1" applyProtection="1">
      <alignment horizontal="center"/>
      <protection locked="0"/>
    </xf>
    <xf numFmtId="0" fontId="3" fillId="4" borderId="36" xfId="5" applyFill="1" applyBorder="1" applyAlignment="1" applyProtection="1">
      <alignment horizontal="center" vertical="center"/>
      <protection locked="0"/>
    </xf>
    <xf numFmtId="0" fontId="33" fillId="4" borderId="3" xfId="0" applyFont="1" applyFill="1" applyBorder="1" applyAlignment="1" applyProtection="1">
      <alignment horizontal="center"/>
      <protection locked="0"/>
    </xf>
    <xf numFmtId="0" fontId="1" fillId="4" borderId="50" xfId="0" applyFont="1" applyFill="1" applyBorder="1" applyAlignment="1" applyProtection="1">
      <alignment horizontal="center"/>
      <protection locked="0"/>
    </xf>
    <xf numFmtId="0" fontId="26" fillId="4" borderId="3" xfId="5" applyFont="1" applyFill="1" applyBorder="1" applyAlignment="1" applyProtection="1">
      <alignment horizontal="center"/>
      <protection locked="0"/>
    </xf>
    <xf numFmtId="0" fontId="27" fillId="4" borderId="3" xfId="5" applyFont="1" applyFill="1" applyBorder="1" applyAlignment="1" applyProtection="1">
      <alignment horizontal="center"/>
      <protection locked="0"/>
    </xf>
    <xf numFmtId="0" fontId="1" fillId="4" borderId="3" xfId="5" applyFont="1" applyFill="1" applyBorder="1" applyAlignment="1" applyProtection="1">
      <alignment horizontal="center"/>
      <protection locked="0"/>
    </xf>
    <xf numFmtId="0" fontId="3" fillId="4" borderId="3" xfId="5" applyFill="1" applyBorder="1" applyAlignment="1" applyProtection="1">
      <alignment horizontal="center"/>
      <protection locked="0"/>
    </xf>
    <xf numFmtId="0" fontId="26" fillId="4" borderId="15" xfId="5" applyFont="1" applyFill="1" applyBorder="1" applyAlignment="1" applyProtection="1">
      <alignment horizontal="center"/>
      <protection locked="0"/>
    </xf>
    <xf numFmtId="0" fontId="1" fillId="4" borderId="15" xfId="5" applyFont="1" applyFill="1" applyBorder="1" applyAlignment="1" applyProtection="1">
      <alignment horizontal="center"/>
      <protection locked="0"/>
    </xf>
    <xf numFmtId="0" fontId="27" fillId="4" borderId="15" xfId="5" applyFont="1" applyFill="1" applyBorder="1" applyAlignment="1" applyProtection="1">
      <alignment horizontal="center"/>
      <protection locked="0"/>
    </xf>
    <xf numFmtId="0" fontId="27" fillId="4" borderId="21" xfId="5" applyFont="1" applyFill="1" applyBorder="1" applyAlignment="1" applyProtection="1">
      <alignment horizontal="center"/>
      <protection locked="0"/>
    </xf>
    <xf numFmtId="0" fontId="26" fillId="4" borderId="19" xfId="5" applyFont="1" applyFill="1" applyBorder="1" applyAlignment="1" applyProtection="1">
      <alignment horizontal="center"/>
      <protection locked="0"/>
    </xf>
    <xf numFmtId="0" fontId="30" fillId="4" borderId="15" xfId="5" applyFont="1" applyFill="1" applyBorder="1" applyAlignment="1" applyProtection="1">
      <alignment horizontal="center"/>
      <protection locked="0"/>
    </xf>
    <xf numFmtId="0" fontId="0" fillId="4" borderId="15" xfId="0" applyFill="1" applyBorder="1" applyAlignment="1" applyProtection="1">
      <alignment horizontal="center"/>
      <protection locked="0"/>
    </xf>
    <xf numFmtId="0" fontId="26" fillId="4" borderId="15" xfId="0" applyFont="1" applyFill="1" applyBorder="1" applyProtection="1">
      <protection locked="0"/>
    </xf>
    <xf numFmtId="0" fontId="26" fillId="4" borderId="15" xfId="5" applyFont="1" applyFill="1" applyBorder="1" applyProtection="1">
      <protection locked="0"/>
    </xf>
    <xf numFmtId="0" fontId="28" fillId="4" borderId="15" xfId="5" applyFont="1" applyFill="1" applyBorder="1" applyProtection="1">
      <protection locked="0"/>
    </xf>
    <xf numFmtId="0" fontId="30" fillId="4" borderId="15" xfId="0" applyFont="1" applyFill="1" applyBorder="1" applyAlignment="1" applyProtection="1">
      <alignment horizontal="center"/>
      <protection locked="0"/>
    </xf>
    <xf numFmtId="0" fontId="28" fillId="4" borderId="15" xfId="5" applyFont="1" applyFill="1" applyBorder="1" applyAlignment="1" applyProtection="1">
      <alignment horizontal="center"/>
      <protection locked="0"/>
    </xf>
    <xf numFmtId="0" fontId="28" fillId="4" borderId="21" xfId="5" applyFont="1" applyFill="1" applyBorder="1" applyProtection="1">
      <protection locked="0"/>
    </xf>
    <xf numFmtId="0" fontId="30" fillId="4" borderId="21" xfId="5" applyFont="1" applyFill="1" applyBorder="1" applyAlignment="1" applyProtection="1">
      <alignment horizontal="center"/>
      <protection locked="0"/>
    </xf>
    <xf numFmtId="0" fontId="26" fillId="4" borderId="21" xfId="5" applyFont="1" applyFill="1" applyBorder="1" applyProtection="1">
      <protection locked="0"/>
    </xf>
    <xf numFmtId="0" fontId="27" fillId="4" borderId="21" xfId="0" applyFont="1" applyFill="1" applyBorder="1" applyAlignment="1" applyProtection="1">
      <alignment horizontal="center"/>
      <protection locked="0"/>
    </xf>
    <xf numFmtId="0" fontId="27" fillId="4" borderId="15" xfId="0" applyFont="1" applyFill="1" applyBorder="1" applyAlignment="1" applyProtection="1">
      <alignment horizontal="center"/>
      <protection locked="0"/>
    </xf>
    <xf numFmtId="0" fontId="26" fillId="4" borderId="21" xfId="0" applyFont="1" applyFill="1" applyBorder="1" applyAlignment="1" applyProtection="1">
      <alignment horizontal="center"/>
      <protection locked="0"/>
    </xf>
    <xf numFmtId="0" fontId="26" fillId="4" borderId="19" xfId="5" applyFont="1" applyFill="1" applyBorder="1" applyProtection="1">
      <protection locked="0"/>
    </xf>
    <xf numFmtId="0" fontId="31" fillId="4" borderId="19" xfId="5" applyFont="1" applyFill="1" applyBorder="1" applyAlignment="1" applyProtection="1">
      <alignment horizontal="center"/>
      <protection locked="0"/>
    </xf>
    <xf numFmtId="0" fontId="30" fillId="4" borderId="19" xfId="5" applyFont="1" applyFill="1" applyBorder="1" applyAlignment="1" applyProtection="1">
      <alignment horizontal="center"/>
      <protection locked="0"/>
    </xf>
    <xf numFmtId="0" fontId="1" fillId="4" borderId="19" xfId="5" applyFont="1" applyFill="1" applyBorder="1" applyAlignment="1" applyProtection="1">
      <alignment horizontal="center"/>
      <protection locked="0"/>
    </xf>
    <xf numFmtId="0" fontId="27" fillId="4" borderId="19" xfId="0" applyFont="1" applyFill="1" applyBorder="1" applyAlignment="1" applyProtection="1">
      <alignment horizontal="center"/>
      <protection locked="0"/>
    </xf>
    <xf numFmtId="0" fontId="0" fillId="4" borderId="19" xfId="0" applyFill="1" applyBorder="1" applyProtection="1">
      <protection locked="0"/>
    </xf>
    <xf numFmtId="0" fontId="26" fillId="4" borderId="2" xfId="5" applyFont="1" applyFill="1" applyBorder="1" applyProtection="1">
      <protection locked="0"/>
    </xf>
    <xf numFmtId="0" fontId="26" fillId="4" borderId="2" xfId="5" applyFont="1" applyFill="1" applyBorder="1" applyAlignment="1" applyProtection="1">
      <alignment horizontal="center"/>
      <protection locked="0"/>
    </xf>
    <xf numFmtId="0" fontId="28" fillId="4" borderId="2" xfId="5" applyFont="1" applyFill="1" applyBorder="1" applyAlignment="1" applyProtection="1">
      <alignment horizontal="center"/>
      <protection locked="0"/>
    </xf>
    <xf numFmtId="0" fontId="26" fillId="4" borderId="39" xfId="5" applyFont="1" applyFill="1" applyBorder="1" applyAlignment="1" applyProtection="1">
      <alignment horizontal="center"/>
      <protection locked="0"/>
    </xf>
    <xf numFmtId="0" fontId="26" fillId="4" borderId="25" xfId="0" applyFont="1" applyFill="1" applyBorder="1" applyAlignment="1" applyProtection="1">
      <alignment horizontal="center"/>
      <protection locked="0"/>
    </xf>
    <xf numFmtId="0" fontId="31" fillId="4" borderId="21" xfId="5" applyFont="1" applyFill="1" applyBorder="1" applyAlignment="1" applyProtection="1">
      <alignment horizontal="center"/>
      <protection locked="0"/>
    </xf>
    <xf numFmtId="0" fontId="0" fillId="4" borderId="21" xfId="0" applyFill="1" applyBorder="1" applyProtection="1">
      <protection locked="0"/>
    </xf>
    <xf numFmtId="0" fontId="31" fillId="4" borderId="2" xfId="5" applyFont="1" applyFill="1" applyBorder="1" applyAlignment="1" applyProtection="1">
      <alignment horizontal="center"/>
      <protection locked="0"/>
    </xf>
    <xf numFmtId="0" fontId="30" fillId="4" borderId="2" xfId="5" applyFont="1" applyFill="1" applyBorder="1" applyAlignment="1" applyProtection="1">
      <alignment horizontal="center"/>
      <protection locked="0"/>
    </xf>
    <xf numFmtId="0" fontId="27" fillId="4" borderId="2" xfId="0" applyFont="1" applyFill="1" applyBorder="1" applyAlignment="1" applyProtection="1">
      <alignment horizontal="center"/>
      <protection locked="0"/>
    </xf>
    <xf numFmtId="0" fontId="26" fillId="4" borderId="0" xfId="5" applyFont="1" applyFill="1" applyProtection="1">
      <protection locked="0"/>
    </xf>
    <xf numFmtId="0" fontId="30" fillId="4" borderId="0" xfId="5" applyFont="1" applyFill="1" applyAlignment="1" applyProtection="1">
      <alignment horizontal="center"/>
      <protection locked="0"/>
    </xf>
    <xf numFmtId="0" fontId="1" fillId="4" borderId="0" xfId="5" applyFont="1" applyFill="1" applyAlignment="1" applyProtection="1">
      <alignment horizontal="center"/>
      <protection locked="0"/>
    </xf>
    <xf numFmtId="0" fontId="25" fillId="4" borderId="0" xfId="0" applyFont="1" applyFill="1" applyAlignment="1" applyProtection="1">
      <alignment horizontal="center" vertical="center"/>
      <protection locked="0"/>
    </xf>
    <xf numFmtId="0" fontId="0" fillId="4" borderId="15" xfId="0" applyFill="1" applyBorder="1" applyProtection="1">
      <protection locked="0"/>
    </xf>
    <xf numFmtId="0" fontId="31" fillId="4" borderId="25" xfId="5" applyFont="1" applyFill="1" applyBorder="1" applyAlignment="1" applyProtection="1">
      <alignment horizontal="center"/>
      <protection locked="0"/>
    </xf>
    <xf numFmtId="0" fontId="31" fillId="4" borderId="44" xfId="5" applyFont="1" applyFill="1" applyBorder="1" applyAlignment="1" applyProtection="1">
      <alignment horizontal="center"/>
      <protection locked="0"/>
    </xf>
    <xf numFmtId="0" fontId="0" fillId="4" borderId="2" xfId="0" applyFill="1" applyBorder="1" applyProtection="1">
      <protection locked="0"/>
    </xf>
    <xf numFmtId="0" fontId="26" fillId="4" borderId="21" xfId="5" applyFont="1" applyFill="1" applyBorder="1" applyAlignment="1" applyProtection="1">
      <alignment horizontal="center"/>
      <protection locked="0"/>
    </xf>
    <xf numFmtId="0" fontId="1" fillId="5" borderId="40" xfId="0" applyFont="1" applyFill="1" applyBorder="1" applyAlignment="1" applyProtection="1">
      <alignment horizontal="center"/>
      <protection locked="0"/>
    </xf>
    <xf numFmtId="0" fontId="1" fillId="5" borderId="10" xfId="5" applyFont="1" applyFill="1" applyBorder="1" applyAlignment="1" applyProtection="1">
      <alignment horizontal="center"/>
      <protection locked="0"/>
    </xf>
    <xf numFmtId="0" fontId="1" fillId="5" borderId="2" xfId="5" applyFont="1" applyFill="1" applyBorder="1" applyAlignment="1" applyProtection="1">
      <alignment horizontal="center"/>
      <protection locked="0"/>
    </xf>
    <xf numFmtId="0" fontId="26" fillId="4" borderId="30" xfId="5" applyFont="1" applyFill="1" applyBorder="1" applyProtection="1">
      <protection locked="0"/>
    </xf>
    <xf numFmtId="0" fontId="31" fillId="4" borderId="30" xfId="5" applyFont="1" applyFill="1" applyBorder="1" applyAlignment="1" applyProtection="1">
      <alignment horizontal="center"/>
      <protection locked="0"/>
    </xf>
    <xf numFmtId="0" fontId="26" fillId="4" borderId="21" xfId="0" applyFont="1" applyFill="1" applyBorder="1" applyProtection="1">
      <protection locked="0"/>
    </xf>
    <xf numFmtId="0" fontId="30" fillId="7" borderId="15" xfId="5" applyFont="1" applyFill="1" applyBorder="1" applyAlignment="1" applyProtection="1">
      <alignment horizontal="center"/>
      <protection locked="0"/>
    </xf>
    <xf numFmtId="0" fontId="0" fillId="7" borderId="15" xfId="0" applyFill="1" applyBorder="1" applyAlignment="1" applyProtection="1">
      <alignment horizontal="center"/>
      <protection locked="0"/>
    </xf>
    <xf numFmtId="0" fontId="30" fillId="7" borderId="2" xfId="5" applyFont="1" applyFill="1" applyBorder="1" applyAlignment="1" applyProtection="1">
      <alignment horizontal="center"/>
      <protection locked="0"/>
    </xf>
    <xf numFmtId="0" fontId="31" fillId="7" borderId="2" xfId="5" applyFont="1" applyFill="1" applyBorder="1" applyAlignment="1" applyProtection="1">
      <alignment horizontal="center"/>
      <protection locked="0"/>
    </xf>
    <xf numFmtId="0" fontId="31" fillId="7" borderId="19" xfId="5" applyFont="1" applyFill="1" applyBorder="1" applyAlignment="1" applyProtection="1">
      <alignment horizontal="center"/>
      <protection locked="0"/>
    </xf>
    <xf numFmtId="0" fontId="26" fillId="7" borderId="2" xfId="0" applyFont="1" applyFill="1" applyBorder="1" applyAlignment="1" applyProtection="1">
      <alignment horizontal="center"/>
      <protection locked="0"/>
    </xf>
    <xf numFmtId="0" fontId="30" fillId="7" borderId="15" xfId="0" applyFont="1" applyFill="1" applyBorder="1" applyAlignment="1" applyProtection="1">
      <alignment horizontal="center"/>
      <protection locked="0"/>
    </xf>
    <xf numFmtId="0" fontId="1" fillId="7" borderId="3" xfId="5" applyFont="1" applyFill="1" applyBorder="1" applyAlignment="1" applyProtection="1">
      <alignment horizontal="center"/>
      <protection locked="0"/>
    </xf>
    <xf numFmtId="0" fontId="1" fillId="7" borderId="2" xfId="5" applyFont="1" applyFill="1" applyBorder="1" applyAlignment="1" applyProtection="1">
      <alignment horizontal="center"/>
      <protection locked="0"/>
    </xf>
    <xf numFmtId="0" fontId="26" fillId="7" borderId="30" xfId="5" applyFont="1" applyFill="1" applyBorder="1" applyProtection="1">
      <protection locked="0"/>
    </xf>
    <xf numFmtId="0" fontId="33" fillId="4" borderId="54" xfId="0" applyFont="1" applyFill="1" applyBorder="1" applyAlignment="1" applyProtection="1">
      <alignment horizontal="center"/>
      <protection locked="0"/>
    </xf>
    <xf numFmtId="0" fontId="1" fillId="4" borderId="55" xfId="5" applyFont="1" applyFill="1" applyBorder="1" applyAlignment="1" applyProtection="1">
      <alignment horizontal="center"/>
      <protection locked="0"/>
    </xf>
    <xf numFmtId="0" fontId="27" fillId="4" borderId="56" xfId="5" applyFont="1" applyFill="1" applyBorder="1" applyAlignment="1" applyProtection="1">
      <alignment horizontal="center"/>
      <protection locked="0"/>
    </xf>
    <xf numFmtId="0" fontId="26" fillId="4" borderId="56" xfId="0" applyFont="1" applyFill="1" applyBorder="1" applyProtection="1">
      <protection locked="0"/>
    </xf>
    <xf numFmtId="0" fontId="30" fillId="4" borderId="56" xfId="0" applyFont="1" applyFill="1" applyBorder="1" applyAlignment="1" applyProtection="1">
      <alignment horizontal="center"/>
      <protection locked="0"/>
    </xf>
    <xf numFmtId="0" fontId="26" fillId="4" borderId="56" xfId="5" applyFont="1" applyFill="1" applyBorder="1" applyProtection="1">
      <protection locked="0"/>
    </xf>
    <xf numFmtId="0" fontId="26" fillId="4" borderId="56" xfId="0" applyFont="1" applyFill="1" applyBorder="1" applyAlignment="1" applyProtection="1">
      <alignment horizontal="center"/>
      <protection locked="0"/>
    </xf>
    <xf numFmtId="0" fontId="31" fillId="4" borderId="56" xfId="5" applyFont="1" applyFill="1" applyBorder="1" applyAlignment="1" applyProtection="1">
      <alignment horizontal="center"/>
      <protection locked="0"/>
    </xf>
    <xf numFmtId="0" fontId="31" fillId="4" borderId="55" xfId="5" applyFont="1" applyFill="1" applyBorder="1" applyAlignment="1" applyProtection="1">
      <alignment horizontal="center"/>
      <protection locked="0"/>
    </xf>
    <xf numFmtId="0" fontId="27" fillId="4" borderId="19" xfId="5" applyFont="1" applyFill="1" applyBorder="1" applyAlignment="1" applyProtection="1">
      <alignment horizontal="center"/>
      <protection locked="0"/>
    </xf>
    <xf numFmtId="0" fontId="3" fillId="7" borderId="19" xfId="5" applyFill="1" applyBorder="1" applyAlignment="1" applyProtection="1">
      <alignment horizontal="center"/>
      <protection locked="0"/>
    </xf>
    <xf numFmtId="0" fontId="27" fillId="4" borderId="57" xfId="5" applyFont="1" applyFill="1" applyBorder="1" applyAlignment="1" applyProtection="1">
      <alignment horizontal="center"/>
      <protection locked="0"/>
    </xf>
    <xf numFmtId="0" fontId="26" fillId="7" borderId="18" xfId="5" applyFont="1" applyFill="1" applyBorder="1" applyAlignment="1" applyProtection="1">
      <alignment horizontal="center"/>
      <protection locked="0"/>
    </xf>
    <xf numFmtId="0" fontId="26" fillId="7" borderId="23" xfId="5" applyFont="1" applyFill="1" applyBorder="1" applyAlignment="1" applyProtection="1">
      <alignment horizontal="center"/>
      <protection locked="0"/>
    </xf>
    <xf numFmtId="0" fontId="30" fillId="7" borderId="23" xfId="5" applyFont="1" applyFill="1" applyBorder="1" applyAlignment="1" applyProtection="1">
      <alignment horizontal="center"/>
      <protection locked="0"/>
    </xf>
    <xf numFmtId="0" fontId="26" fillId="7" borderId="23" xfId="5" applyFont="1" applyFill="1" applyBorder="1" applyProtection="1">
      <protection locked="0"/>
    </xf>
    <xf numFmtId="0" fontId="26" fillId="7" borderId="10" xfId="5" applyFont="1" applyFill="1" applyBorder="1" applyProtection="1">
      <protection locked="0"/>
    </xf>
    <xf numFmtId="0" fontId="0" fillId="0" borderId="58" xfId="0" applyBorder="1" applyProtection="1">
      <protection locked="0"/>
    </xf>
    <xf numFmtId="0" fontId="23" fillId="0" borderId="0" xfId="0" applyFont="1" applyAlignment="1">
      <alignment horizontal="center"/>
    </xf>
    <xf numFmtId="0" fontId="26" fillId="4" borderId="59" xfId="5" applyFont="1" applyFill="1" applyBorder="1" applyAlignment="1" applyProtection="1">
      <alignment horizontal="center"/>
      <protection locked="0"/>
    </xf>
    <xf numFmtId="0" fontId="3" fillId="4" borderId="21" xfId="5" applyFill="1" applyBorder="1" applyAlignment="1" applyProtection="1">
      <alignment horizontal="center"/>
      <protection locked="0"/>
    </xf>
    <xf numFmtId="0" fontId="26" fillId="4" borderId="32" xfId="5" applyFont="1" applyFill="1" applyBorder="1" applyAlignment="1" applyProtection="1">
      <alignment horizontal="center"/>
      <protection locked="0"/>
    </xf>
    <xf numFmtId="0" fontId="3" fillId="4" borderId="17" xfId="5" applyFill="1" applyBorder="1" applyAlignment="1" applyProtection="1">
      <alignment horizontal="center" vertical="center"/>
      <protection locked="0"/>
    </xf>
    <xf numFmtId="0" fontId="23" fillId="4" borderId="41" xfId="0" applyFont="1" applyFill="1" applyBorder="1" applyAlignment="1">
      <alignment horizontal="center"/>
    </xf>
    <xf numFmtId="0" fontId="23" fillId="4" borderId="44" xfId="0" applyFont="1" applyFill="1" applyBorder="1" applyAlignment="1">
      <alignment horizontal="center"/>
    </xf>
    <xf numFmtId="0" fontId="23" fillId="0" borderId="44" xfId="0" applyFont="1" applyBorder="1" applyAlignment="1">
      <alignment horizontal="center" vertical="center"/>
    </xf>
    <xf numFmtId="0" fontId="23" fillId="4" borderId="43" xfId="0" applyFont="1" applyFill="1" applyBorder="1" applyAlignment="1">
      <alignment horizontal="center"/>
    </xf>
    <xf numFmtId="0" fontId="23" fillId="0" borderId="44" xfId="0" applyFont="1" applyBorder="1" applyAlignment="1">
      <alignment horizontal="center"/>
    </xf>
    <xf numFmtId="0" fontId="23" fillId="4" borderId="42" xfId="0" applyFont="1" applyFill="1" applyBorder="1" applyAlignment="1">
      <alignment horizontal="center"/>
    </xf>
    <xf numFmtId="0" fontId="23" fillId="0" borderId="41" xfId="0" applyFont="1" applyBorder="1" applyAlignment="1">
      <alignment horizontal="center" vertical="center"/>
    </xf>
    <xf numFmtId="0" fontId="23" fillId="0" borderId="43" xfId="0" applyFont="1" applyBorder="1" applyAlignment="1">
      <alignment horizontal="center" vertical="center"/>
    </xf>
    <xf numFmtId="0" fontId="35" fillId="0" borderId="44" xfId="5" applyFont="1" applyBorder="1" applyAlignment="1" applyProtection="1">
      <alignment horizontal="center"/>
      <protection locked="0"/>
    </xf>
    <xf numFmtId="0" fontId="31" fillId="4" borderId="0" xfId="5" applyFont="1" applyFill="1" applyAlignment="1" applyProtection="1">
      <alignment horizontal="center"/>
      <protection locked="0"/>
    </xf>
    <xf numFmtId="0" fontId="3" fillId="0" borderId="49" xfId="5" applyBorder="1" applyProtection="1">
      <protection locked="0"/>
    </xf>
    <xf numFmtId="0" fontId="3" fillId="4" borderId="30" xfId="5" applyFill="1" applyBorder="1" applyAlignment="1" applyProtection="1">
      <alignment horizontal="center"/>
      <protection locked="0"/>
    </xf>
    <xf numFmtId="0" fontId="27" fillId="4" borderId="32" xfId="5" applyFont="1" applyFill="1" applyBorder="1" applyAlignment="1" applyProtection="1">
      <alignment horizontal="center"/>
      <protection locked="0"/>
    </xf>
    <xf numFmtId="0" fontId="27" fillId="4" borderId="5" xfId="5" applyFont="1" applyFill="1" applyBorder="1" applyAlignment="1" applyProtection="1">
      <alignment horizontal="center"/>
      <protection locked="0"/>
    </xf>
    <xf numFmtId="0" fontId="26" fillId="4" borderId="5" xfId="5" applyFont="1" applyFill="1" applyBorder="1" applyAlignment="1" applyProtection="1">
      <alignment horizontal="center"/>
      <protection locked="0"/>
    </xf>
    <xf numFmtId="0" fontId="9" fillId="4" borderId="0" xfId="0" applyFont="1" applyFill="1" applyProtection="1">
      <protection locked="0"/>
    </xf>
    <xf numFmtId="0" fontId="1" fillId="0" borderId="0" xfId="5" applyFont="1" applyAlignment="1" applyProtection="1">
      <alignment horizontal="left"/>
      <protection locked="0"/>
    </xf>
    <xf numFmtId="0" fontId="1" fillId="0" borderId="0" xfId="5" applyFont="1" applyProtection="1">
      <protection locked="0"/>
    </xf>
    <xf numFmtId="0" fontId="27" fillId="4" borderId="15" xfId="0" applyFont="1" applyFill="1" applyBorder="1" applyProtection="1">
      <protection locked="0"/>
    </xf>
    <xf numFmtId="0" fontId="26" fillId="4" borderId="30" xfId="5" applyFont="1" applyFill="1" applyBorder="1" applyAlignment="1" applyProtection="1">
      <alignment horizontal="center"/>
      <protection locked="0"/>
    </xf>
    <xf numFmtId="0" fontId="27" fillId="4" borderId="2" xfId="0" applyFont="1" applyFill="1" applyBorder="1" applyProtection="1">
      <protection locked="0"/>
    </xf>
    <xf numFmtId="0" fontId="26" fillId="4" borderId="23" xfId="5" applyFont="1" applyFill="1" applyBorder="1" applyAlignment="1" applyProtection="1">
      <alignment horizontal="center"/>
      <protection locked="0"/>
    </xf>
    <xf numFmtId="0" fontId="30" fillId="4" borderId="23" xfId="5" applyFont="1" applyFill="1" applyBorder="1" applyAlignment="1" applyProtection="1">
      <alignment horizontal="center"/>
      <protection locked="0"/>
    </xf>
    <xf numFmtId="0" fontId="26" fillId="4" borderId="23" xfId="5" applyFont="1" applyFill="1" applyBorder="1" applyProtection="1">
      <protection locked="0"/>
    </xf>
    <xf numFmtId="0" fontId="26" fillId="4" borderId="10" xfId="5" applyFont="1" applyFill="1" applyBorder="1" applyProtection="1">
      <protection locked="0"/>
    </xf>
    <xf numFmtId="0" fontId="36" fillId="0" borderId="0" xfId="0" applyFont="1" applyAlignment="1" applyProtection="1">
      <alignment horizontal="center" wrapText="1"/>
      <protection locked="0"/>
    </xf>
    <xf numFmtId="0" fontId="23" fillId="0" borderId="53" xfId="0" applyFont="1" applyBorder="1" applyAlignment="1">
      <alignment horizontal="center"/>
    </xf>
    <xf numFmtId="0" fontId="27" fillId="4" borderId="15" xfId="0" applyFont="1" applyFill="1" applyBorder="1" applyAlignment="1" applyProtection="1">
      <alignment horizontal="center" vertical="center"/>
      <protection locked="0"/>
    </xf>
    <xf numFmtId="0" fontId="30" fillId="4" borderId="29" xfId="5" applyFont="1" applyFill="1" applyBorder="1" applyAlignment="1" applyProtection="1">
      <alignment horizontal="center"/>
      <protection locked="0"/>
    </xf>
    <xf numFmtId="0" fontId="1" fillId="5" borderId="21" xfId="5" applyFont="1" applyFill="1" applyBorder="1" applyAlignment="1" applyProtection="1">
      <alignment horizontal="center"/>
      <protection locked="0"/>
    </xf>
    <xf numFmtId="0" fontId="26" fillId="4" borderId="7" xfId="5" applyFont="1" applyFill="1" applyBorder="1" applyAlignment="1" applyProtection="1">
      <alignment horizontal="center"/>
      <protection locked="0"/>
    </xf>
    <xf numFmtId="0" fontId="37" fillId="4" borderId="15" xfId="0" applyFont="1" applyFill="1" applyBorder="1" applyAlignment="1" applyProtection="1">
      <alignment horizontal="center"/>
      <protection locked="0"/>
    </xf>
    <xf numFmtId="0" fontId="23" fillId="4" borderId="17" xfId="0" applyFont="1" applyFill="1" applyBorder="1" applyAlignment="1">
      <alignment horizontal="center"/>
    </xf>
    <xf numFmtId="0" fontId="26" fillId="4" borderId="40" xfId="5" applyFont="1" applyFill="1" applyBorder="1" applyAlignment="1" applyProtection="1">
      <alignment horizontal="center"/>
      <protection locked="0"/>
    </xf>
    <xf numFmtId="0" fontId="26" fillId="4" borderId="44" xfId="5" applyFont="1" applyFill="1" applyBorder="1" applyProtection="1">
      <protection locked="0"/>
    </xf>
    <xf numFmtId="0" fontId="1" fillId="4" borderId="60" xfId="5" applyFont="1" applyFill="1" applyBorder="1" applyAlignment="1" applyProtection="1">
      <alignment horizontal="center"/>
      <protection locked="0"/>
    </xf>
    <xf numFmtId="0" fontId="26" fillId="4" borderId="15" xfId="5" applyFont="1" applyFill="1" applyBorder="1" applyAlignment="1" applyProtection="1">
      <alignment vertical="center"/>
      <protection locked="0"/>
    </xf>
    <xf numFmtId="0" fontId="29" fillId="0" borderId="61" xfId="0" applyFont="1" applyBorder="1" applyProtection="1">
      <protection locked="0"/>
    </xf>
    <xf numFmtId="0" fontId="23" fillId="4" borderId="55" xfId="0" applyFont="1" applyFill="1" applyBorder="1" applyAlignment="1">
      <alignment horizontal="center"/>
    </xf>
    <xf numFmtId="0" fontId="26" fillId="4" borderId="3" xfId="5" applyFont="1" applyFill="1" applyBorder="1" applyProtection="1">
      <protection locked="0"/>
    </xf>
    <xf numFmtId="0" fontId="27" fillId="4" borderId="41" xfId="5" applyFont="1" applyFill="1" applyBorder="1" applyAlignment="1" applyProtection="1">
      <alignment horizontal="center"/>
      <protection locked="0"/>
    </xf>
    <xf numFmtId="0" fontId="27" fillId="4" borderId="44" xfId="5" applyFont="1" applyFill="1" applyBorder="1" applyAlignment="1" applyProtection="1">
      <alignment horizontal="center"/>
      <protection locked="0"/>
    </xf>
    <xf numFmtId="0" fontId="26" fillId="4" borderId="44" xfId="0" applyFont="1" applyFill="1" applyBorder="1" applyProtection="1">
      <protection locked="0"/>
    </xf>
    <xf numFmtId="0" fontId="30" fillId="4" borderId="44" xfId="0" applyFont="1" applyFill="1" applyBorder="1" applyAlignment="1" applyProtection="1">
      <alignment horizontal="center"/>
      <protection locked="0"/>
    </xf>
    <xf numFmtId="0" fontId="26" fillId="4" borderId="44" xfId="0" applyFont="1" applyFill="1" applyBorder="1" applyAlignment="1" applyProtection="1">
      <alignment horizontal="center"/>
      <protection locked="0"/>
    </xf>
    <xf numFmtId="0" fontId="26" fillId="4" borderId="44" xfId="5" applyFont="1" applyFill="1" applyBorder="1" applyAlignment="1" applyProtection="1">
      <alignment vertical="center"/>
      <protection locked="0"/>
    </xf>
    <xf numFmtId="0" fontId="26" fillId="4" borderId="42" xfId="5" applyFont="1" applyFill="1" applyBorder="1" applyAlignment="1" applyProtection="1">
      <alignment horizontal="center"/>
      <protection locked="0"/>
    </xf>
    <xf numFmtId="0" fontId="26" fillId="4" borderId="41" xfId="5" applyFont="1" applyFill="1" applyBorder="1" applyAlignment="1" applyProtection="1">
      <alignment horizontal="center"/>
      <protection locked="0"/>
    </xf>
    <xf numFmtId="0" fontId="26" fillId="4" borderId="44" xfId="5" applyFont="1" applyFill="1" applyBorder="1" applyAlignment="1" applyProtection="1">
      <alignment horizontal="center"/>
      <protection locked="0"/>
    </xf>
    <xf numFmtId="0" fontId="3" fillId="4" borderId="0" xfId="5" applyFill="1" applyAlignment="1" applyProtection="1">
      <alignment horizontal="center"/>
      <protection locked="0"/>
    </xf>
    <xf numFmtId="0" fontId="26" fillId="4" borderId="41" xfId="5" applyFont="1" applyFill="1" applyBorder="1" applyProtection="1">
      <protection locked="0"/>
    </xf>
    <xf numFmtId="0" fontId="26" fillId="4" borderId="44" xfId="5" applyFont="1" applyFill="1" applyBorder="1" applyAlignment="1" applyProtection="1">
      <alignment horizontal="center" vertical="center"/>
      <protection locked="0"/>
    </xf>
    <xf numFmtId="0" fontId="26" fillId="4" borderId="42" xfId="5" applyFont="1" applyFill="1" applyBorder="1" applyAlignment="1" applyProtection="1">
      <alignment horizontal="center" vertical="center"/>
      <protection locked="0"/>
    </xf>
    <xf numFmtId="0" fontId="26" fillId="6" borderId="40" xfId="5" applyFont="1" applyFill="1" applyBorder="1" applyAlignment="1" applyProtection="1">
      <alignment horizontal="center"/>
      <protection locked="0"/>
    </xf>
    <xf numFmtId="0" fontId="26" fillId="6" borderId="23" xfId="5" applyFont="1" applyFill="1" applyBorder="1" applyAlignment="1" applyProtection="1">
      <alignment horizontal="center"/>
      <protection locked="0"/>
    </xf>
    <xf numFmtId="0" fontId="30" fillId="6" borderId="23" xfId="5" applyFont="1" applyFill="1" applyBorder="1" applyAlignment="1" applyProtection="1">
      <alignment horizontal="center"/>
      <protection locked="0"/>
    </xf>
    <xf numFmtId="0" fontId="26" fillId="6" borderId="23" xfId="5" applyFont="1" applyFill="1" applyBorder="1" applyProtection="1">
      <protection locked="0"/>
    </xf>
    <xf numFmtId="0" fontId="26" fillId="6" borderId="10" xfId="5" applyFont="1" applyFill="1" applyBorder="1" applyProtection="1">
      <protection locked="0"/>
    </xf>
    <xf numFmtId="0" fontId="27" fillId="6" borderId="3" xfId="5" applyFont="1" applyFill="1" applyBorder="1" applyAlignment="1" applyProtection="1">
      <alignment horizontal="center"/>
      <protection locked="0"/>
    </xf>
    <xf numFmtId="0" fontId="27" fillId="6" borderId="15" xfId="5" applyFont="1" applyFill="1" applyBorder="1" applyAlignment="1" applyProtection="1">
      <alignment horizontal="center"/>
      <protection locked="0"/>
    </xf>
    <xf numFmtId="0" fontId="26" fillId="6" borderId="15" xfId="5" applyFont="1" applyFill="1" applyBorder="1" applyAlignment="1" applyProtection="1">
      <alignment horizontal="center"/>
      <protection locked="0"/>
    </xf>
    <xf numFmtId="0" fontId="27" fillId="6" borderId="15" xfId="0" applyFont="1" applyFill="1" applyBorder="1" applyAlignment="1" applyProtection="1">
      <alignment horizontal="center"/>
      <protection locked="0"/>
    </xf>
    <xf numFmtId="0" fontId="26" fillId="6" borderId="15" xfId="5" applyFont="1" applyFill="1" applyBorder="1" applyProtection="1">
      <protection locked="0"/>
    </xf>
    <xf numFmtId="0" fontId="30" fillId="6" borderId="15" xfId="5" applyFont="1" applyFill="1" applyBorder="1" applyAlignment="1" applyProtection="1">
      <alignment horizontal="center"/>
      <protection locked="0"/>
    </xf>
    <xf numFmtId="0" fontId="30" fillId="6" borderId="2" xfId="5" applyFont="1" applyFill="1" applyBorder="1" applyAlignment="1" applyProtection="1">
      <alignment horizontal="center"/>
      <protection locked="0"/>
    </xf>
    <xf numFmtId="0" fontId="26" fillId="6" borderId="2" xfId="5" applyFont="1" applyFill="1" applyBorder="1" applyProtection="1">
      <protection locked="0"/>
    </xf>
    <xf numFmtId="0" fontId="26" fillId="6" borderId="19" xfId="5" applyFont="1" applyFill="1" applyBorder="1" applyAlignment="1" applyProtection="1">
      <alignment horizontal="center"/>
      <protection locked="0"/>
    </xf>
    <xf numFmtId="0" fontId="26" fillId="6" borderId="3" xfId="5" applyFont="1" applyFill="1" applyBorder="1" applyAlignment="1" applyProtection="1">
      <alignment horizontal="center"/>
      <protection locked="0"/>
    </xf>
    <xf numFmtId="0" fontId="26" fillId="6" borderId="21" xfId="5" applyFont="1" applyFill="1" applyBorder="1" applyProtection="1">
      <protection locked="0"/>
    </xf>
    <xf numFmtId="0" fontId="26" fillId="6" borderId="19" xfId="5" applyFont="1" applyFill="1" applyBorder="1" applyProtection="1">
      <protection locked="0"/>
    </xf>
    <xf numFmtId="0" fontId="26" fillId="6" borderId="3" xfId="5" applyFont="1" applyFill="1" applyBorder="1" applyProtection="1">
      <protection locked="0"/>
    </xf>
    <xf numFmtId="0" fontId="23" fillId="0" borderId="46" xfId="0" applyFont="1" applyBorder="1" applyAlignment="1">
      <alignment horizontal="center"/>
    </xf>
    <xf numFmtId="0" fontId="23" fillId="4" borderId="44" xfId="0" applyFont="1" applyFill="1" applyBorder="1" applyAlignment="1">
      <alignment horizontal="center" vertical="center"/>
    </xf>
    <xf numFmtId="0" fontId="26" fillId="4" borderId="18" xfId="5" applyFont="1" applyFill="1" applyBorder="1" applyAlignment="1" applyProtection="1">
      <alignment horizontal="center"/>
      <protection locked="0"/>
    </xf>
    <xf numFmtId="0" fontId="26" fillId="6" borderId="41" xfId="5" applyFont="1" applyFill="1" applyBorder="1" applyAlignment="1" applyProtection="1">
      <alignment horizontal="center"/>
      <protection locked="0"/>
    </xf>
    <xf numFmtId="0" fontId="26" fillId="6" borderId="44" xfId="5" applyFont="1" applyFill="1" applyBorder="1" applyAlignment="1" applyProtection="1">
      <alignment horizontal="center"/>
      <protection locked="0"/>
    </xf>
    <xf numFmtId="0" fontId="26" fillId="6" borderId="44" xfId="0" applyFont="1" applyFill="1" applyBorder="1" applyAlignment="1" applyProtection="1">
      <alignment horizontal="center"/>
      <protection locked="0"/>
    </xf>
    <xf numFmtId="0" fontId="26" fillId="6" borderId="44" xfId="5" applyFont="1" applyFill="1" applyBorder="1" applyProtection="1">
      <protection locked="0"/>
    </xf>
    <xf numFmtId="0" fontId="26" fillId="6" borderId="43" xfId="5" applyFont="1" applyFill="1" applyBorder="1" applyProtection="1">
      <protection locked="0"/>
    </xf>
    <xf numFmtId="0" fontId="26" fillId="4" borderId="49" xfId="5" applyFont="1" applyFill="1" applyBorder="1" applyProtection="1">
      <protection locked="0"/>
    </xf>
    <xf numFmtId="0" fontId="26" fillId="6" borderId="30" xfId="5" applyFont="1" applyFill="1" applyBorder="1" applyProtection="1">
      <protection locked="0"/>
    </xf>
    <xf numFmtId="0" fontId="26" fillId="4" borderId="53" xfId="5" applyFont="1" applyFill="1" applyBorder="1" applyProtection="1">
      <protection locked="0"/>
    </xf>
    <xf numFmtId="0" fontId="27" fillId="4" borderId="30" xfId="5" applyFont="1" applyFill="1" applyBorder="1" applyAlignment="1" applyProtection="1">
      <alignment horizontal="center"/>
      <protection locked="0"/>
    </xf>
    <xf numFmtId="0" fontId="27" fillId="4" borderId="30" xfId="5" applyFont="1" applyFill="1" applyBorder="1" applyProtection="1">
      <protection locked="0"/>
    </xf>
    <xf numFmtId="0" fontId="27" fillId="4" borderId="30" xfId="0" applyFont="1" applyFill="1" applyBorder="1" applyProtection="1">
      <protection locked="0"/>
    </xf>
    <xf numFmtId="0" fontId="26" fillId="6" borderId="52" xfId="5" applyFont="1" applyFill="1" applyBorder="1" applyProtection="1">
      <protection locked="0"/>
    </xf>
    <xf numFmtId="0" fontId="26" fillId="4" borderId="34" xfId="5" applyFont="1" applyFill="1" applyBorder="1" applyAlignment="1" applyProtection="1">
      <alignment horizontal="center"/>
      <protection locked="0"/>
    </xf>
    <xf numFmtId="0" fontId="26" fillId="6" borderId="18" xfId="5" applyFont="1" applyFill="1" applyBorder="1" applyProtection="1">
      <protection locked="0"/>
    </xf>
    <xf numFmtId="0" fontId="26" fillId="4" borderId="29" xfId="5" applyFont="1" applyFill="1" applyBorder="1" applyAlignment="1" applyProtection="1">
      <alignment horizontal="center"/>
      <protection locked="0"/>
    </xf>
    <xf numFmtId="0" fontId="27" fillId="6" borderId="21" xfId="0" applyFont="1" applyFill="1" applyBorder="1" applyAlignment="1" applyProtection="1">
      <alignment horizontal="center"/>
      <protection locked="0"/>
    </xf>
    <xf numFmtId="0" fontId="30" fillId="4" borderId="18" xfId="5" applyFont="1" applyFill="1" applyBorder="1" applyAlignment="1" applyProtection="1">
      <alignment horizontal="center"/>
      <protection locked="0"/>
    </xf>
    <xf numFmtId="0" fontId="27" fillId="4" borderId="62" xfId="5" applyFont="1" applyFill="1" applyBorder="1" applyAlignment="1" applyProtection="1">
      <alignment horizontal="center"/>
      <protection locked="0"/>
    </xf>
    <xf numFmtId="0" fontId="26" fillId="4" borderId="19" xfId="0" applyFont="1" applyFill="1" applyBorder="1" applyProtection="1">
      <protection locked="0"/>
    </xf>
    <xf numFmtId="0" fontId="26" fillId="4" borderId="31" xfId="5" applyFont="1" applyFill="1" applyBorder="1" applyProtection="1">
      <protection locked="0"/>
    </xf>
    <xf numFmtId="0" fontId="26" fillId="6" borderId="32" xfId="5" applyFont="1" applyFill="1" applyBorder="1" applyProtection="1">
      <protection locked="0"/>
    </xf>
    <xf numFmtId="0" fontId="26" fillId="4" borderId="32" xfId="5" applyFont="1" applyFill="1" applyBorder="1" applyProtection="1">
      <protection locked="0"/>
    </xf>
    <xf numFmtId="0" fontId="30" fillId="6" borderId="29" xfId="5" applyFont="1" applyFill="1" applyBorder="1" applyAlignment="1" applyProtection="1">
      <alignment horizontal="center"/>
      <protection locked="0"/>
    </xf>
    <xf numFmtId="0" fontId="26" fillId="4" borderId="63" xfId="5" applyFont="1" applyFill="1" applyBorder="1" applyAlignment="1" applyProtection="1">
      <alignment horizontal="center"/>
      <protection locked="0"/>
    </xf>
    <xf numFmtId="0" fontId="26" fillId="6" borderId="21" xfId="5" applyFont="1" applyFill="1" applyBorder="1" applyAlignment="1" applyProtection="1">
      <alignment horizontal="center"/>
      <protection locked="0"/>
    </xf>
    <xf numFmtId="0" fontId="1" fillId="0" borderId="0" xfId="5" applyFont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 applyProtection="1">
      <alignment horizontal="center" vertical="center"/>
      <protection locked="0"/>
    </xf>
    <xf numFmtId="0" fontId="0" fillId="0" borderId="15" xfId="0" applyBorder="1" applyAlignment="1">
      <alignment horizontal="center"/>
    </xf>
    <xf numFmtId="14" fontId="0" fillId="0" borderId="15" xfId="0" applyNumberFormat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46" xfId="0" applyFill="1" applyBorder="1" applyAlignment="1">
      <alignment horizontal="center"/>
    </xf>
    <xf numFmtId="0" fontId="3" fillId="0" borderId="23" xfId="0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44" xfId="0" applyFont="1" applyBorder="1"/>
    <xf numFmtId="0" fontId="18" fillId="0" borderId="0" xfId="0" applyFont="1" applyAlignment="1">
      <alignment vertical="center"/>
    </xf>
    <xf numFmtId="0" fontId="38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1" fillId="0" borderId="0" xfId="5" applyFont="1" applyAlignment="1">
      <alignment horizontal="center" vertical="center"/>
    </xf>
    <xf numFmtId="0" fontId="1" fillId="0" borderId="0" xfId="5" applyFont="1" applyAlignment="1">
      <alignment horizontal="left" vertical="center"/>
    </xf>
    <xf numFmtId="0" fontId="27" fillId="0" borderId="0" xfId="0" applyFont="1" applyAlignment="1">
      <alignment vertical="center"/>
    </xf>
    <xf numFmtId="0" fontId="16" fillId="0" borderId="65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7" fillId="0" borderId="0" xfId="0" applyFont="1"/>
    <xf numFmtId="0" fontId="1" fillId="0" borderId="0" xfId="0" applyFont="1" applyAlignment="1">
      <alignment horizontal="left"/>
    </xf>
    <xf numFmtId="14" fontId="9" fillId="0" borderId="65" xfId="0" applyNumberFormat="1" applyFont="1" applyBorder="1" applyAlignment="1">
      <alignment horizontal="center" vertical="center"/>
    </xf>
    <xf numFmtId="0" fontId="0" fillId="0" borderId="2" xfId="0" applyBorder="1"/>
    <xf numFmtId="0" fontId="1" fillId="0" borderId="40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0" borderId="32" xfId="0" applyBorder="1"/>
    <xf numFmtId="0" fontId="1" fillId="0" borderId="31" xfId="0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" fillId="0" borderId="71" xfId="0" applyFont="1" applyBorder="1" applyAlignment="1">
      <alignment horizontal="center" vertical="center"/>
    </xf>
    <xf numFmtId="0" fontId="37" fillId="0" borderId="0" xfId="0" applyFont="1" applyAlignment="1">
      <alignment horizontal="left"/>
    </xf>
    <xf numFmtId="0" fontId="1" fillId="0" borderId="47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4" fontId="9" fillId="0" borderId="32" xfId="0" applyNumberFormat="1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73" xfId="0" applyFont="1" applyBorder="1" applyAlignment="1">
      <alignment vertical="center"/>
    </xf>
    <xf numFmtId="0" fontId="1" fillId="0" borderId="66" xfId="0" applyFont="1" applyBorder="1" applyAlignment="1">
      <alignment horizontal="center" vertical="center"/>
    </xf>
    <xf numFmtId="0" fontId="0" fillId="0" borderId="65" xfId="0" applyBorder="1"/>
    <xf numFmtId="0" fontId="1" fillId="0" borderId="69" xfId="0" applyFont="1" applyBorder="1" applyAlignment="1">
      <alignment horizontal="center" vertical="center"/>
    </xf>
    <xf numFmtId="0" fontId="1" fillId="0" borderId="61" xfId="0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0" fontId="1" fillId="0" borderId="7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 vertical="center"/>
    </xf>
    <xf numFmtId="14" fontId="9" fillId="0" borderId="30" xfId="0" applyNumberFormat="1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0" fontId="0" fillId="0" borderId="19" xfId="0" applyBorder="1"/>
    <xf numFmtId="0" fontId="0" fillId="0" borderId="5" xfId="0" applyBorder="1"/>
    <xf numFmtId="0" fontId="1" fillId="0" borderId="49" xfId="0" applyFont="1" applyBorder="1" applyAlignment="1">
      <alignment horizontal="center" vertical="center"/>
    </xf>
    <xf numFmtId="0" fontId="0" fillId="0" borderId="30" xfId="0" applyBorder="1"/>
    <xf numFmtId="0" fontId="1" fillId="0" borderId="8" xfId="0" applyFont="1" applyBorder="1" applyAlignment="1">
      <alignment horizontal="center" vertical="center"/>
    </xf>
    <xf numFmtId="0" fontId="0" fillId="0" borderId="15" xfId="0" applyBorder="1"/>
    <xf numFmtId="0" fontId="1" fillId="0" borderId="23" xfId="0" applyFont="1" applyBorder="1" applyAlignment="1">
      <alignment horizontal="center" vertical="center"/>
    </xf>
    <xf numFmtId="0" fontId="1" fillId="0" borderId="65" xfId="0" applyFont="1" applyBorder="1" applyAlignment="1">
      <alignment vertical="center"/>
    </xf>
    <xf numFmtId="0" fontId="1" fillId="0" borderId="54" xfId="0" applyFont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14" fontId="9" fillId="0" borderId="5" xfId="0" applyNumberFormat="1" applyFont="1" applyBorder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0" borderId="67" xfId="0" applyFont="1" applyBorder="1" applyAlignment="1">
      <alignment vertical="center"/>
    </xf>
    <xf numFmtId="0" fontId="1" fillId="0" borderId="47" xfId="0" applyFont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76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1" fillId="0" borderId="62" xfId="0" applyFont="1" applyBorder="1" applyAlignment="1">
      <alignment horizontal="center" vertical="center"/>
    </xf>
    <xf numFmtId="0" fontId="27" fillId="0" borderId="0" xfId="0" applyFont="1" applyAlignment="1">
      <alignment horizontal="left" vertical="center"/>
    </xf>
    <xf numFmtId="14" fontId="9" fillId="0" borderId="3" xfId="0" applyNumberFormat="1" applyFont="1" applyBorder="1" applyAlignment="1">
      <alignment horizontal="center" vertical="center"/>
    </xf>
    <xf numFmtId="14" fontId="9" fillId="0" borderId="71" xfId="0" applyNumberFormat="1" applyFont="1" applyBorder="1" applyAlignment="1">
      <alignment horizontal="center" vertical="center"/>
    </xf>
    <xf numFmtId="0" fontId="1" fillId="0" borderId="37" xfId="0" applyFont="1" applyBorder="1" applyAlignment="1">
      <alignment vertical="center"/>
    </xf>
    <xf numFmtId="0" fontId="1" fillId="0" borderId="28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62" xfId="0" applyFont="1" applyBorder="1" applyAlignment="1">
      <alignment vertical="center"/>
    </xf>
    <xf numFmtId="0" fontId="42" fillId="0" borderId="0" xfId="0" applyFont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43" fillId="0" borderId="65" xfId="0" applyFont="1" applyBorder="1" applyAlignment="1">
      <alignment horizontal="center" vertical="center"/>
    </xf>
    <xf numFmtId="0" fontId="16" fillId="0" borderId="41" xfId="0" applyFont="1" applyBorder="1" applyAlignment="1">
      <alignment horizontal="center" vertical="center"/>
    </xf>
    <xf numFmtId="0" fontId="16" fillId="0" borderId="71" xfId="0" applyFont="1" applyBorder="1" applyAlignment="1">
      <alignment horizontal="center" vertical="center"/>
    </xf>
    <xf numFmtId="0" fontId="0" fillId="0" borderId="51" xfId="0" applyBorder="1"/>
    <xf numFmtId="0" fontId="1" fillId="0" borderId="5" xfId="0" applyFont="1" applyBorder="1" applyAlignment="1">
      <alignment vertical="center"/>
    </xf>
    <xf numFmtId="0" fontId="37" fillId="0" borderId="0" xfId="0" applyFont="1" applyAlignment="1">
      <alignment horizontal="left" vertical="center"/>
    </xf>
    <xf numFmtId="0" fontId="1" fillId="0" borderId="1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1" fillId="0" borderId="76" xfId="0" applyFont="1" applyBorder="1" applyAlignment="1">
      <alignment horizontal="center" vertical="center"/>
    </xf>
    <xf numFmtId="0" fontId="37" fillId="0" borderId="0" xfId="0" applyFont="1" applyAlignment="1">
      <alignment vertical="center"/>
    </xf>
    <xf numFmtId="0" fontId="16" fillId="0" borderId="2" xfId="0" applyFont="1" applyBorder="1" applyAlignment="1">
      <alignment horizontal="center" vertical="center"/>
    </xf>
    <xf numFmtId="0" fontId="26" fillId="0" borderId="52" xfId="0" applyFont="1" applyBorder="1" applyAlignment="1">
      <alignment horizontal="center" vertical="center"/>
    </xf>
    <xf numFmtId="0" fontId="3" fillId="0" borderId="0" xfId="0" applyFont="1"/>
    <xf numFmtId="0" fontId="44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0" fillId="0" borderId="0" xfId="0" applyAlignment="1">
      <alignment horizontal="center"/>
    </xf>
    <xf numFmtId="0" fontId="44" fillId="0" borderId="0" xfId="0" applyFont="1"/>
    <xf numFmtId="0" fontId="16" fillId="0" borderId="21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1" fillId="0" borderId="64" xfId="0" applyFont="1" applyBorder="1" applyAlignment="1">
      <alignment horizontal="center" vertical="center"/>
    </xf>
    <xf numFmtId="14" fontId="1" fillId="0" borderId="72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0" xfId="5" applyFont="1" applyAlignment="1">
      <alignment vertical="center"/>
    </xf>
    <xf numFmtId="14" fontId="9" fillId="0" borderId="32" xfId="0" applyNumberFormat="1" applyFont="1" applyBorder="1" applyAlignment="1">
      <alignment vertical="center"/>
    </xf>
    <xf numFmtId="0" fontId="46" fillId="0" borderId="0" xfId="0" applyFont="1"/>
    <xf numFmtId="0" fontId="1" fillId="0" borderId="19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" fillId="0" borderId="15" xfId="0" applyFont="1" applyBorder="1" applyAlignment="1">
      <alignment vertical="center"/>
    </xf>
    <xf numFmtId="14" fontId="9" fillId="0" borderId="15" xfId="0" applyNumberFormat="1" applyFont="1" applyBorder="1" applyAlignment="1">
      <alignment vertical="center"/>
    </xf>
    <xf numFmtId="14" fontId="9" fillId="0" borderId="21" xfId="0" applyNumberFormat="1" applyFont="1" applyBorder="1" applyAlignment="1">
      <alignment vertical="center"/>
    </xf>
    <xf numFmtId="14" fontId="9" fillId="0" borderId="19" xfId="0" applyNumberFormat="1" applyFont="1" applyBorder="1" applyAlignment="1">
      <alignment vertical="center"/>
    </xf>
    <xf numFmtId="0" fontId="1" fillId="0" borderId="0" xfId="0" applyFont="1" applyAlignment="1" applyProtection="1">
      <alignment vertical="center"/>
      <protection locked="0"/>
    </xf>
    <xf numFmtId="0" fontId="3" fillId="0" borderId="19" xfId="0" applyFont="1" applyBorder="1" applyAlignment="1">
      <alignment vertical="center"/>
    </xf>
    <xf numFmtId="0" fontId="27" fillId="0" borderId="0" xfId="0" applyFont="1" applyAlignment="1">
      <alignment horizontal="left"/>
    </xf>
    <xf numFmtId="0" fontId="1" fillId="0" borderId="19" xfId="0" applyFont="1" applyBorder="1" applyAlignment="1">
      <alignment vertical="center"/>
    </xf>
    <xf numFmtId="0" fontId="3" fillId="13" borderId="0" xfId="0" applyFont="1" applyFill="1" applyAlignment="1">
      <alignment horizontal="center" vertical="center"/>
    </xf>
    <xf numFmtId="0" fontId="0" fillId="4" borderId="0" xfId="0" applyFill="1"/>
    <xf numFmtId="0" fontId="1" fillId="0" borderId="25" xfId="5" applyFont="1" applyBorder="1" applyAlignment="1">
      <alignment horizontal="center" vertical="center"/>
    </xf>
    <xf numFmtId="0" fontId="1" fillId="0" borderId="21" xfId="5" applyFont="1" applyBorder="1" applyAlignment="1">
      <alignment horizontal="center" vertical="center"/>
    </xf>
    <xf numFmtId="0" fontId="26" fillId="0" borderId="0" xfId="5" applyFont="1" applyAlignment="1">
      <alignment vertical="center"/>
    </xf>
    <xf numFmtId="0" fontId="26" fillId="0" borderId="0" xfId="5" applyFont="1" applyAlignment="1">
      <alignment horizontal="center" vertical="center"/>
    </xf>
    <xf numFmtId="0" fontId="3" fillId="0" borderId="31" xfId="5" applyBorder="1" applyAlignment="1" applyProtection="1">
      <alignment horizontal="center" vertical="center" wrapText="1"/>
      <protection locked="0"/>
    </xf>
    <xf numFmtId="0" fontId="3" fillId="0" borderId="32" xfId="5" applyBorder="1" applyAlignment="1" applyProtection="1">
      <alignment horizontal="center" vertical="center"/>
      <protection locked="0"/>
    </xf>
    <xf numFmtId="0" fontId="16" fillId="0" borderId="7" xfId="5" applyFont="1" applyBorder="1" applyAlignment="1" applyProtection="1">
      <alignment horizontal="center" vertical="center"/>
      <protection locked="0"/>
    </xf>
    <xf numFmtId="0" fontId="3" fillId="4" borderId="26" xfId="0" applyFont="1" applyFill="1" applyBorder="1" applyAlignment="1" applyProtection="1">
      <alignment horizontal="center" vertical="center"/>
      <protection locked="0"/>
    </xf>
    <xf numFmtId="0" fontId="3" fillId="4" borderId="0" xfId="0" applyFont="1" applyFill="1" applyAlignment="1">
      <alignment vertical="center"/>
    </xf>
    <xf numFmtId="0" fontId="16" fillId="0" borderId="42" xfId="0" applyFont="1" applyBorder="1" applyAlignment="1">
      <alignment horizontal="center" vertical="center"/>
    </xf>
    <xf numFmtId="0" fontId="46" fillId="0" borderId="39" xfId="0" applyFont="1" applyBorder="1"/>
    <xf numFmtId="0" fontId="46" fillId="0" borderId="77" xfId="0" applyFont="1" applyBorder="1"/>
    <xf numFmtId="0" fontId="3" fillId="4" borderId="23" xfId="5" applyFill="1" applyBorder="1" applyAlignment="1" applyProtection="1">
      <alignment horizontal="center" vertical="center" wrapText="1"/>
      <protection locked="0"/>
    </xf>
    <xf numFmtId="0" fontId="27" fillId="0" borderId="26" xfId="0" applyFont="1" applyBorder="1" applyAlignment="1">
      <alignment horizontal="left"/>
    </xf>
    <xf numFmtId="0" fontId="16" fillId="0" borderId="35" xfId="0" applyFont="1" applyBorder="1" applyAlignment="1">
      <alignment horizontal="center" vertical="center"/>
    </xf>
    <xf numFmtId="0" fontId="16" fillId="0" borderId="72" xfId="0" applyFont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14" fontId="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16" fillId="0" borderId="44" xfId="0" applyFont="1" applyBorder="1" applyAlignment="1">
      <alignment horizontal="center" vertical="center"/>
    </xf>
    <xf numFmtId="0" fontId="1" fillId="3" borderId="17" xfId="5" applyFont="1" applyFill="1" applyBorder="1" applyAlignment="1" applyProtection="1">
      <alignment horizontal="center" vertical="center" wrapText="1"/>
      <protection locked="0"/>
    </xf>
    <xf numFmtId="0" fontId="1" fillId="3" borderId="33" xfId="5" applyFont="1" applyFill="1" applyBorder="1" applyAlignment="1" applyProtection="1">
      <alignment horizontal="center" vertical="center" wrapText="1"/>
      <protection locked="0"/>
    </xf>
    <xf numFmtId="0" fontId="0" fillId="0" borderId="72" xfId="0" applyBorder="1" applyAlignment="1">
      <alignment horizontal="center"/>
    </xf>
    <xf numFmtId="0" fontId="0" fillId="0" borderId="57" xfId="0" applyBorder="1"/>
    <xf numFmtId="0" fontId="0" fillId="0" borderId="56" xfId="0" applyBorder="1"/>
    <xf numFmtId="0" fontId="0" fillId="6" borderId="8" xfId="0" applyFill="1" applyBorder="1" applyAlignment="1">
      <alignment horizontal="center" vertical="center"/>
    </xf>
    <xf numFmtId="0" fontId="1" fillId="0" borderId="15" xfId="5" applyFont="1" applyBorder="1" applyAlignment="1">
      <alignment horizontal="center" vertical="center"/>
    </xf>
    <xf numFmtId="0" fontId="26" fillId="0" borderId="3" xfId="5" applyFont="1" applyBorder="1" applyAlignment="1">
      <alignment vertical="center"/>
    </xf>
    <xf numFmtId="0" fontId="1" fillId="0" borderId="2" xfId="5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49" fontId="2" fillId="0" borderId="15" xfId="5" applyNumberFormat="1" applyFont="1" applyBorder="1" applyAlignment="1" applyProtection="1">
      <alignment vertical="center"/>
      <protection locked="0"/>
    </xf>
    <xf numFmtId="49" fontId="49" fillId="0" borderId="15" xfId="5" applyNumberFormat="1" applyFont="1" applyBorder="1" applyAlignment="1" applyProtection="1">
      <alignment vertical="center"/>
      <protection locked="0"/>
    </xf>
    <xf numFmtId="0" fontId="0" fillId="0" borderId="74" xfId="0" applyBorder="1"/>
    <xf numFmtId="0" fontId="3" fillId="0" borderId="2" xfId="0" applyFont="1" applyBorder="1" applyAlignment="1">
      <alignment horizontal="center" vertical="center"/>
    </xf>
    <xf numFmtId="49" fontId="30" fillId="0" borderId="15" xfId="5" applyNumberFormat="1" applyFont="1" applyBorder="1" applyAlignment="1" applyProtection="1">
      <alignment vertical="center"/>
      <protection locked="0"/>
    </xf>
    <xf numFmtId="0" fontId="46" fillId="0" borderId="0" xfId="5" applyFont="1" applyAlignment="1" applyProtection="1">
      <alignment horizontal="center" vertical="center"/>
      <protection locked="0"/>
    </xf>
    <xf numFmtId="0" fontId="1" fillId="0" borderId="3" xfId="5" applyFont="1" applyBorder="1" applyAlignment="1">
      <alignment horizontal="center" vertical="center"/>
    </xf>
    <xf numFmtId="0" fontId="15" fillId="0" borderId="2" xfId="5" applyFont="1" applyBorder="1" applyAlignment="1">
      <alignment horizontal="left" vertical="center"/>
    </xf>
    <xf numFmtId="0" fontId="0" fillId="6" borderId="5" xfId="0" applyFill="1" applyBorder="1" applyAlignment="1">
      <alignment horizontal="center" vertical="center"/>
    </xf>
    <xf numFmtId="0" fontId="3" fillId="0" borderId="10" xfId="5" applyBorder="1" applyAlignment="1">
      <alignment horizontal="center" vertical="center"/>
    </xf>
    <xf numFmtId="0" fontId="26" fillId="0" borderId="2" xfId="0" applyFont="1" applyBorder="1" applyAlignment="1" applyProtection="1">
      <alignment horizontal="center" vertical="center"/>
      <protection locked="0"/>
    </xf>
    <xf numFmtId="0" fontId="9" fillId="5" borderId="0" xfId="0" applyFont="1" applyFill="1" applyAlignment="1">
      <alignment horizontal="center" vertical="center"/>
    </xf>
    <xf numFmtId="0" fontId="3" fillId="0" borderId="40" xfId="5" applyBorder="1" applyAlignment="1" applyProtection="1">
      <alignment horizontal="center" vertical="center" wrapText="1"/>
      <protection locked="0"/>
    </xf>
    <xf numFmtId="0" fontId="1" fillId="6" borderId="15" xfId="5" applyFont="1" applyFill="1" applyBorder="1" applyAlignment="1">
      <alignment horizontal="center" vertical="center"/>
    </xf>
    <xf numFmtId="0" fontId="26" fillId="6" borderId="15" xfId="5" applyFont="1" applyFill="1" applyBorder="1" applyAlignment="1">
      <alignment vertical="center"/>
    </xf>
    <xf numFmtId="0" fontId="26" fillId="6" borderId="15" xfId="5" applyFont="1" applyFill="1" applyBorder="1" applyAlignment="1">
      <alignment horizontal="center" vertical="center"/>
    </xf>
    <xf numFmtId="0" fontId="26" fillId="6" borderId="15" xfId="0" applyFont="1" applyFill="1" applyBorder="1" applyAlignment="1" applyProtection="1">
      <alignment vertical="center"/>
      <protection locked="0"/>
    </xf>
    <xf numFmtId="0" fontId="1" fillId="6" borderId="15" xfId="5" applyFont="1" applyFill="1" applyBorder="1" applyAlignment="1">
      <alignment vertical="center"/>
    </xf>
    <xf numFmtId="0" fontId="1" fillId="6" borderId="3" xfId="5" applyFont="1" applyFill="1" applyBorder="1" applyAlignment="1">
      <alignment horizontal="center" vertical="center"/>
    </xf>
    <xf numFmtId="0" fontId="1" fillId="6" borderId="15" xfId="0" applyFont="1" applyFill="1" applyBorder="1" applyAlignment="1" applyProtection="1">
      <alignment horizontal="center" vertical="center"/>
      <protection locked="0"/>
    </xf>
    <xf numFmtId="0" fontId="26" fillId="6" borderId="2" xfId="5" applyFont="1" applyFill="1" applyBorder="1" applyAlignment="1">
      <alignment vertical="center"/>
    </xf>
    <xf numFmtId="0" fontId="3" fillId="6" borderId="15" xfId="0" applyFont="1" applyFill="1" applyBorder="1" applyAlignment="1">
      <alignment horizontal="center" vertical="center"/>
    </xf>
    <xf numFmtId="0" fontId="1" fillId="6" borderId="2" xfId="5" applyFont="1" applyFill="1" applyBorder="1" applyAlignment="1">
      <alignment vertical="center"/>
    </xf>
    <xf numFmtId="0" fontId="26" fillId="0" borderId="2" xfId="5" applyFont="1" applyBorder="1" applyAlignment="1">
      <alignment vertical="center"/>
    </xf>
    <xf numFmtId="0" fontId="26" fillId="6" borderId="19" xfId="5" applyFont="1" applyFill="1" applyBorder="1" applyAlignment="1">
      <alignment vertical="center"/>
    </xf>
    <xf numFmtId="0" fontId="1" fillId="0" borderId="36" xfId="0" applyFont="1" applyBorder="1" applyAlignment="1">
      <alignment horizontal="center" vertical="center"/>
    </xf>
    <xf numFmtId="0" fontId="3" fillId="4" borderId="18" xfId="5" applyFill="1" applyBorder="1" applyAlignment="1" applyProtection="1">
      <alignment horizontal="center" vertical="center" wrapText="1"/>
      <protection locked="0"/>
    </xf>
    <xf numFmtId="0" fontId="26" fillId="6" borderId="21" xfId="5" applyFont="1" applyFill="1" applyBorder="1" applyAlignment="1">
      <alignment vertical="center"/>
    </xf>
    <xf numFmtId="0" fontId="26" fillId="6" borderId="3" xfId="5" applyFont="1" applyFill="1" applyBorder="1" applyAlignment="1">
      <alignment vertical="center"/>
    </xf>
    <xf numFmtId="0" fontId="26" fillId="6" borderId="44" xfId="5" applyFont="1" applyFill="1" applyBorder="1" applyAlignment="1">
      <alignment vertical="center"/>
    </xf>
    <xf numFmtId="0" fontId="26" fillId="6" borderId="2" xfId="5" applyFont="1" applyFill="1" applyBorder="1" applyAlignment="1">
      <alignment horizontal="center" vertical="center"/>
    </xf>
    <xf numFmtId="0" fontId="1" fillId="0" borderId="10" xfId="5" applyFont="1" applyBorder="1" applyAlignment="1">
      <alignment horizontal="center" vertical="center"/>
    </xf>
    <xf numFmtId="0" fontId="26" fillId="0" borderId="2" xfId="5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1" fillId="6" borderId="0" xfId="0" applyFont="1" applyFill="1"/>
    <xf numFmtId="0" fontId="1" fillId="0" borderId="0" xfId="0" applyFont="1"/>
    <xf numFmtId="0" fontId="26" fillId="6" borderId="5" xfId="5" applyFont="1" applyFill="1" applyBorder="1" applyAlignment="1">
      <alignment vertical="center"/>
    </xf>
    <xf numFmtId="0" fontId="3" fillId="6" borderId="3" xfId="0" applyFont="1" applyFill="1" applyBorder="1" applyAlignment="1">
      <alignment horizontal="center" vertical="center"/>
    </xf>
    <xf numFmtId="0" fontId="16" fillId="0" borderId="78" xfId="0" applyFont="1" applyBorder="1" applyAlignment="1">
      <alignment horizontal="center" vertical="center"/>
    </xf>
    <xf numFmtId="0" fontId="51" fillId="0" borderId="78" xfId="0" applyFont="1" applyBorder="1" applyAlignment="1">
      <alignment horizontal="center" vertical="center"/>
    </xf>
    <xf numFmtId="0" fontId="16" fillId="0" borderId="79" xfId="0" applyFont="1" applyBorder="1" applyAlignment="1">
      <alignment horizontal="center" vertical="center"/>
    </xf>
    <xf numFmtId="0" fontId="26" fillId="0" borderId="41" xfId="5" applyFont="1" applyBorder="1" applyAlignment="1">
      <alignment horizontal="center" vertical="center"/>
    </xf>
    <xf numFmtId="0" fontId="3" fillId="4" borderId="18" xfId="0" applyFont="1" applyFill="1" applyBorder="1" applyAlignment="1" applyProtection="1">
      <alignment horizontal="center" vertical="center"/>
      <protection locked="0"/>
    </xf>
    <xf numFmtId="0" fontId="26" fillId="0" borderId="10" xfId="5" applyFont="1" applyBorder="1" applyAlignment="1">
      <alignment horizontal="center" vertical="center"/>
    </xf>
    <xf numFmtId="0" fontId="26" fillId="6" borderId="2" xfId="0" applyFont="1" applyFill="1" applyBorder="1" applyAlignment="1" applyProtection="1">
      <alignment horizontal="center" vertical="center"/>
      <protection locked="0"/>
    </xf>
    <xf numFmtId="0" fontId="33" fillId="4" borderId="0" xfId="0" applyFont="1" applyFill="1" applyAlignment="1">
      <alignment vertical="center"/>
    </xf>
    <xf numFmtId="0" fontId="3" fillId="0" borderId="18" xfId="0" applyFont="1" applyBorder="1" applyAlignment="1">
      <alignment horizontal="center" vertical="center"/>
    </xf>
    <xf numFmtId="0" fontId="3" fillId="5" borderId="18" xfId="5" applyFill="1" applyBorder="1" applyAlignment="1" applyProtection="1">
      <alignment horizontal="center" vertical="center" wrapText="1"/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1" fillId="0" borderId="54" xfId="0" applyFont="1" applyBorder="1" applyAlignment="1" applyProtection="1">
      <alignment horizontal="center" vertical="center"/>
      <protection locked="0"/>
    </xf>
    <xf numFmtId="0" fontId="1" fillId="0" borderId="21" xfId="0" applyFont="1" applyBorder="1" applyAlignment="1" applyProtection="1">
      <alignment horizontal="center" vertical="center"/>
      <protection locked="0"/>
    </xf>
    <xf numFmtId="0" fontId="1" fillId="0" borderId="60" xfId="0" applyFont="1" applyBorder="1" applyAlignment="1" applyProtection="1">
      <alignment horizontal="center" vertical="center"/>
      <protection locked="0"/>
    </xf>
    <xf numFmtId="0" fontId="1" fillId="0" borderId="17" xfId="0" applyFont="1" applyBorder="1" applyAlignment="1">
      <alignment horizontal="center" vertical="center"/>
    </xf>
    <xf numFmtId="0" fontId="45" fillId="0" borderId="25" xfId="0" applyFont="1" applyBorder="1" applyAlignment="1">
      <alignment horizontal="center"/>
    </xf>
    <xf numFmtId="0" fontId="1" fillId="0" borderId="25" xfId="0" applyFont="1" applyBorder="1" applyAlignment="1">
      <alignment horizontal="center" vertical="center"/>
    </xf>
    <xf numFmtId="0" fontId="1" fillId="0" borderId="19" xfId="5" applyFont="1" applyBorder="1" applyAlignment="1">
      <alignment horizontal="center" vertical="center"/>
    </xf>
    <xf numFmtId="0" fontId="1" fillId="0" borderId="19" xfId="0" applyFont="1" applyBorder="1" applyAlignment="1" applyProtection="1">
      <alignment horizontal="center" vertical="center"/>
      <protection locked="0"/>
    </xf>
    <xf numFmtId="0" fontId="26" fillId="0" borderId="34" xfId="5" applyFont="1" applyBorder="1" applyAlignment="1">
      <alignment vertical="center"/>
    </xf>
    <xf numFmtId="0" fontId="26" fillId="0" borderId="15" xfId="5" applyFont="1" applyBorder="1" applyAlignment="1">
      <alignment vertical="center"/>
    </xf>
    <xf numFmtId="0" fontId="1" fillId="0" borderId="15" xfId="5" applyFont="1" applyBorder="1" applyAlignment="1">
      <alignment vertical="center"/>
    </xf>
    <xf numFmtId="0" fontId="26" fillId="0" borderId="44" xfId="5" applyFont="1" applyBorder="1" applyAlignment="1">
      <alignment vertical="center"/>
    </xf>
    <xf numFmtId="0" fontId="1" fillId="0" borderId="33" xfId="0" applyFont="1" applyBorder="1" applyAlignment="1">
      <alignment horizontal="center"/>
    </xf>
    <xf numFmtId="0" fontId="26" fillId="0" borderId="23" xfId="5" applyFont="1" applyBorder="1" applyAlignment="1">
      <alignment vertical="center"/>
    </xf>
    <xf numFmtId="0" fontId="1" fillId="0" borderId="21" xfId="5" applyFont="1" applyBorder="1" applyAlignment="1">
      <alignment vertical="center"/>
    </xf>
    <xf numFmtId="0" fontId="1" fillId="0" borderId="3" xfId="5" applyFont="1" applyBorder="1" applyAlignment="1">
      <alignment vertical="center"/>
    </xf>
    <xf numFmtId="0" fontId="26" fillId="0" borderId="15" xfId="0" applyFont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15" fillId="0" borderId="3" xfId="5" applyFont="1" applyBorder="1" applyAlignment="1">
      <alignment horizontal="left" vertical="center"/>
    </xf>
    <xf numFmtId="0" fontId="1" fillId="0" borderId="40" xfId="5" applyFont="1" applyBorder="1" applyAlignment="1">
      <alignment horizontal="center" vertical="center"/>
    </xf>
    <xf numFmtId="0" fontId="47" fillId="0" borderId="3" xfId="5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1" fillId="0" borderId="23" xfId="5" applyFont="1" applyBorder="1" applyAlignment="1">
      <alignment vertical="center"/>
    </xf>
    <xf numFmtId="0" fontId="16" fillId="0" borderId="15" xfId="5" applyFont="1" applyBorder="1" applyAlignment="1" applyProtection="1">
      <alignment vertical="center"/>
      <protection locked="0"/>
    </xf>
    <xf numFmtId="0" fontId="1" fillId="0" borderId="19" xfId="5" applyFont="1" applyBorder="1" applyAlignment="1">
      <alignment vertical="center"/>
    </xf>
    <xf numFmtId="0" fontId="3" fillId="0" borderId="19" xfId="0" applyFont="1" applyBorder="1" applyAlignment="1">
      <alignment horizontal="center" vertical="center"/>
    </xf>
    <xf numFmtId="0" fontId="16" fillId="0" borderId="21" xfId="5" applyFont="1" applyBorder="1" applyAlignment="1" applyProtection="1">
      <alignment vertical="center"/>
      <protection locked="0"/>
    </xf>
    <xf numFmtId="0" fontId="16" fillId="0" borderId="19" xfId="5" applyFont="1" applyBorder="1" applyAlignment="1" applyProtection="1">
      <alignment vertical="center"/>
      <protection locked="0"/>
    </xf>
    <xf numFmtId="0" fontId="16" fillId="0" borderId="2" xfId="5" applyFont="1" applyBorder="1" applyAlignment="1" applyProtection="1">
      <alignment vertical="center"/>
      <protection locked="0"/>
    </xf>
    <xf numFmtId="0" fontId="16" fillId="0" borderId="42" xfId="5" applyFont="1" applyBorder="1" applyAlignment="1" applyProtection="1">
      <alignment vertical="center"/>
      <protection locked="0"/>
    </xf>
    <xf numFmtId="0" fontId="16" fillId="0" borderId="25" xfId="5" applyFont="1" applyBorder="1" applyAlignment="1" applyProtection="1">
      <alignment horizontal="center" vertical="center"/>
      <protection locked="0"/>
    </xf>
    <xf numFmtId="0" fontId="16" fillId="0" borderId="36" xfId="0" applyFont="1" applyBorder="1" applyAlignment="1">
      <alignment horizontal="center" vertical="center"/>
    </xf>
    <xf numFmtId="0" fontId="45" fillId="0" borderId="53" xfId="0" applyFont="1" applyBorder="1" applyAlignment="1">
      <alignment horizontal="center"/>
    </xf>
    <xf numFmtId="0" fontId="16" fillId="0" borderId="70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16" fillId="0" borderId="25" xfId="0" applyFont="1" applyBorder="1" applyAlignment="1" applyProtection="1">
      <alignment horizontal="center" vertical="center"/>
      <protection locked="0"/>
    </xf>
    <xf numFmtId="0" fontId="16" fillId="0" borderId="25" xfId="0" applyFont="1" applyBorder="1" applyAlignment="1">
      <alignment horizontal="center"/>
    </xf>
    <xf numFmtId="0" fontId="16" fillId="0" borderId="53" xfId="0" applyFont="1" applyBorder="1" applyAlignment="1">
      <alignment horizontal="center"/>
    </xf>
    <xf numFmtId="0" fontId="1" fillId="6" borderId="19" xfId="5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26" fillId="7" borderId="15" xfId="5" applyFont="1" applyFill="1" applyBorder="1" applyAlignment="1">
      <alignment vertical="center"/>
    </xf>
    <xf numFmtId="0" fontId="16" fillId="0" borderId="23" xfId="5" applyFont="1" applyBorder="1" applyAlignment="1" applyProtection="1">
      <alignment vertical="center"/>
      <protection locked="0"/>
    </xf>
    <xf numFmtId="0" fontId="1" fillId="0" borderId="44" xfId="5" applyFont="1" applyBorder="1" applyAlignment="1">
      <alignment horizontal="center" vertical="center"/>
    </xf>
    <xf numFmtId="49" fontId="30" fillId="0" borderId="3" xfId="5" applyNumberFormat="1" applyFont="1" applyBorder="1" applyAlignment="1" applyProtection="1">
      <alignment vertical="center"/>
      <protection locked="0"/>
    </xf>
    <xf numFmtId="0" fontId="1" fillId="6" borderId="3" xfId="0" applyFont="1" applyFill="1" applyBorder="1" applyAlignment="1">
      <alignment horizontal="center" vertical="center"/>
    </xf>
    <xf numFmtId="0" fontId="16" fillId="0" borderId="29" xfId="5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1" fillId="0" borderId="34" xfId="5" applyFont="1" applyBorder="1" applyAlignment="1">
      <alignment horizontal="center" vertical="center"/>
    </xf>
    <xf numFmtId="0" fontId="26" fillId="0" borderId="5" xfId="5" applyFont="1" applyBorder="1" applyAlignment="1">
      <alignment vertical="center"/>
    </xf>
    <xf numFmtId="0" fontId="26" fillId="0" borderId="15" xfId="5" applyFont="1" applyBorder="1" applyAlignment="1">
      <alignment horizontal="center" vertical="center"/>
    </xf>
    <xf numFmtId="0" fontId="26" fillId="0" borderId="21" xfId="5" applyFont="1" applyBorder="1" applyAlignment="1">
      <alignment vertical="center"/>
    </xf>
    <xf numFmtId="0" fontId="26" fillId="0" borderId="21" xfId="5" applyFont="1" applyBorder="1" applyAlignment="1">
      <alignment horizontal="center" vertical="center"/>
    </xf>
    <xf numFmtId="0" fontId="1" fillId="0" borderId="15" xfId="0" applyFont="1" applyBorder="1" applyAlignment="1" applyProtection="1">
      <alignment horizontal="center" vertical="center"/>
      <protection locked="0"/>
    </xf>
    <xf numFmtId="0" fontId="26" fillId="0" borderId="19" xfId="5" applyFont="1" applyBorder="1" applyAlignment="1">
      <alignment horizontal="center" vertical="center"/>
    </xf>
    <xf numFmtId="0" fontId="26" fillId="0" borderId="19" xfId="5" applyFont="1" applyBorder="1" applyAlignment="1">
      <alignment vertical="center"/>
    </xf>
    <xf numFmtId="0" fontId="26" fillId="0" borderId="21" xfId="0" applyFont="1" applyBorder="1" applyAlignment="1" applyProtection="1">
      <alignment horizontal="center" vertical="center"/>
      <protection locked="0"/>
    </xf>
    <xf numFmtId="0" fontId="26" fillId="0" borderId="15" xfId="0" applyFont="1" applyBorder="1" applyAlignment="1" applyProtection="1">
      <alignment vertical="center"/>
      <protection locked="0"/>
    </xf>
    <xf numFmtId="0" fontId="26" fillId="0" borderId="34" xfId="5" applyFont="1" applyBorder="1" applyAlignment="1">
      <alignment horizontal="center" vertical="center"/>
    </xf>
    <xf numFmtId="0" fontId="1" fillId="0" borderId="2" xfId="5" applyFont="1" applyBorder="1" applyAlignment="1">
      <alignment vertical="center"/>
    </xf>
    <xf numFmtId="0" fontId="1" fillId="0" borderId="40" xfId="0" applyFont="1" applyBorder="1" applyAlignment="1" applyProtection="1">
      <alignment horizontal="center" vertical="center"/>
      <protection locked="0"/>
    </xf>
    <xf numFmtId="0" fontId="1" fillId="0" borderId="42" xfId="0" applyFont="1" applyBorder="1" applyAlignment="1" applyProtection="1">
      <alignment horizontal="center" vertical="center"/>
      <protection locked="0"/>
    </xf>
    <xf numFmtId="0" fontId="47" fillId="0" borderId="21" xfId="5" applyFont="1" applyBorder="1" applyAlignment="1" applyProtection="1">
      <alignment vertical="center"/>
      <protection locked="0"/>
    </xf>
    <xf numFmtId="0" fontId="47" fillId="0" borderId="43" xfId="5" applyFont="1" applyBorder="1" applyAlignment="1" applyProtection="1">
      <alignment vertical="center"/>
      <protection locked="0"/>
    </xf>
    <xf numFmtId="0" fontId="3" fillId="0" borderId="15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9" fillId="0" borderId="2" xfId="0" applyFont="1" applyBorder="1" applyAlignment="1">
      <alignment vertical="center"/>
    </xf>
    <xf numFmtId="0" fontId="1" fillId="6" borderId="3" xfId="5" applyFont="1" applyFill="1" applyBorder="1" applyAlignment="1">
      <alignment vertical="center"/>
    </xf>
    <xf numFmtId="0" fontId="26" fillId="0" borderId="41" xfId="5" applyFont="1" applyBorder="1" applyAlignment="1">
      <alignment vertical="center"/>
    </xf>
    <xf numFmtId="0" fontId="1" fillId="6" borderId="2" xfId="5" applyFont="1" applyFill="1" applyBorder="1" applyAlignment="1">
      <alignment horizontal="center" vertical="center"/>
    </xf>
    <xf numFmtId="0" fontId="26" fillId="0" borderId="34" xfId="0" applyFont="1" applyBorder="1" applyAlignment="1">
      <alignment vertical="center"/>
    </xf>
    <xf numFmtId="0" fontId="26" fillId="0" borderId="69" xfId="5" applyFont="1" applyBorder="1" applyAlignment="1">
      <alignment vertical="center"/>
    </xf>
    <xf numFmtId="0" fontId="26" fillId="0" borderId="65" xfId="5" applyFont="1" applyBorder="1" applyAlignment="1">
      <alignment vertical="center"/>
    </xf>
    <xf numFmtId="0" fontId="26" fillId="0" borderId="73" xfId="5" applyFont="1" applyBorder="1" applyAlignment="1">
      <alignment horizontal="center" vertical="center"/>
    </xf>
    <xf numFmtId="0" fontId="26" fillId="0" borderId="65" xfId="0" applyFont="1" applyBorder="1" applyAlignment="1">
      <alignment vertical="center"/>
    </xf>
    <xf numFmtId="0" fontId="26" fillId="0" borderId="71" xfId="0" applyFont="1" applyBorder="1" applyAlignment="1">
      <alignment vertical="center"/>
    </xf>
    <xf numFmtId="0" fontId="1" fillId="7" borderId="34" xfId="5" applyFont="1" applyFill="1" applyBorder="1" applyAlignment="1">
      <alignment horizontal="center" vertical="center"/>
    </xf>
    <xf numFmtId="0" fontId="1" fillId="0" borderId="3" xfId="0" applyFont="1" applyBorder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3" fillId="0" borderId="37" xfId="0" applyFont="1" applyBorder="1" applyAlignment="1">
      <alignment vertical="center"/>
    </xf>
    <xf numFmtId="0" fontId="3" fillId="0" borderId="42" xfId="0" applyFont="1" applyBorder="1" applyAlignment="1">
      <alignment vertical="center"/>
    </xf>
    <xf numFmtId="0" fontId="1" fillId="0" borderId="34" xfId="5" applyFont="1" applyBorder="1" applyAlignment="1">
      <alignment vertical="center"/>
    </xf>
    <xf numFmtId="0" fontId="47" fillId="0" borderId="63" xfId="5" applyFont="1" applyBorder="1" applyAlignment="1" applyProtection="1">
      <alignment vertical="center"/>
      <protection locked="0"/>
    </xf>
    <xf numFmtId="0" fontId="16" fillId="0" borderId="34" xfId="5" applyFont="1" applyBorder="1" applyAlignment="1" applyProtection="1">
      <alignment vertical="center"/>
      <protection locked="0"/>
    </xf>
    <xf numFmtId="0" fontId="16" fillId="0" borderId="37" xfId="5" applyFont="1" applyBorder="1" applyAlignment="1" applyProtection="1">
      <alignment vertical="center"/>
      <protection locked="0"/>
    </xf>
    <xf numFmtId="0" fontId="1" fillId="0" borderId="44" xfId="5" applyFont="1" applyBorder="1" applyAlignment="1">
      <alignment vertical="center"/>
    </xf>
    <xf numFmtId="0" fontId="1" fillId="0" borderId="43" xfId="5" applyFont="1" applyBorder="1" applyAlignment="1">
      <alignment horizontal="center" vertical="center"/>
    </xf>
    <xf numFmtId="0" fontId="16" fillId="0" borderId="44" xfId="5" applyFont="1" applyBorder="1" applyAlignment="1" applyProtection="1">
      <alignment vertical="center"/>
      <protection locked="0"/>
    </xf>
    <xf numFmtId="0" fontId="26" fillId="0" borderId="47" xfId="5" applyFont="1" applyBorder="1" applyAlignment="1">
      <alignment vertical="center"/>
    </xf>
    <xf numFmtId="0" fontId="3" fillId="0" borderId="37" xfId="0" applyFont="1" applyBorder="1" applyAlignment="1">
      <alignment horizontal="center" vertical="center"/>
    </xf>
    <xf numFmtId="0" fontId="1" fillId="0" borderId="41" xfId="5" applyFont="1" applyBorder="1" applyAlignment="1">
      <alignment horizontal="center" vertical="center"/>
    </xf>
    <xf numFmtId="0" fontId="1" fillId="6" borderId="10" xfId="5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6" borderId="44" xfId="0" applyFont="1" applyFill="1" applyBorder="1" applyAlignment="1">
      <alignment horizontal="center" vertical="center"/>
    </xf>
    <xf numFmtId="0" fontId="26" fillId="6" borderId="42" xfId="5" applyFont="1" applyFill="1" applyBorder="1" applyAlignment="1">
      <alignment horizontal="center" vertical="center"/>
    </xf>
    <xf numFmtId="0" fontId="1" fillId="6" borderId="40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5" fillId="6" borderId="3" xfId="5" applyFont="1" applyFill="1" applyBorder="1" applyAlignment="1">
      <alignment horizontal="left" vertical="center"/>
    </xf>
    <xf numFmtId="0" fontId="3" fillId="6" borderId="41" xfId="0" applyFont="1" applyFill="1" applyBorder="1" applyAlignment="1">
      <alignment horizontal="center" vertical="center"/>
    </xf>
    <xf numFmtId="0" fontId="26" fillId="0" borderId="43" xfId="5" applyFont="1" applyBorder="1" applyAlignment="1">
      <alignment vertical="center"/>
    </xf>
    <xf numFmtId="0" fontId="1" fillId="6" borderId="30" xfId="5" applyFont="1" applyFill="1" applyBorder="1" applyAlignment="1">
      <alignment vertical="center"/>
    </xf>
    <xf numFmtId="0" fontId="26" fillId="0" borderId="30" xfId="5" applyFont="1" applyBorder="1" applyAlignment="1">
      <alignment horizontal="center" vertical="center"/>
    </xf>
    <xf numFmtId="0" fontId="26" fillId="6" borderId="30" xfId="5" applyFont="1" applyFill="1" applyBorder="1" applyAlignment="1">
      <alignment horizontal="center" vertical="center"/>
    </xf>
    <xf numFmtId="0" fontId="1" fillId="6" borderId="30" xfId="5" applyFont="1" applyFill="1" applyBorder="1" applyAlignment="1">
      <alignment horizontal="center" vertical="center"/>
    </xf>
    <xf numFmtId="0" fontId="26" fillId="0" borderId="52" xfId="5" applyFont="1" applyBorder="1" applyAlignment="1">
      <alignment horizontal="center" vertical="center"/>
    </xf>
    <xf numFmtId="0" fontId="26" fillId="0" borderId="18" xfId="5" applyFont="1" applyBorder="1" applyAlignment="1">
      <alignment vertical="center"/>
    </xf>
    <xf numFmtId="0" fontId="26" fillId="0" borderId="46" xfId="5" applyFont="1" applyBorder="1" applyAlignment="1">
      <alignment vertical="center"/>
    </xf>
    <xf numFmtId="0" fontId="1" fillId="0" borderId="36" xfId="5" applyFont="1" applyBorder="1" applyAlignment="1" applyProtection="1">
      <alignment horizontal="center" vertical="center"/>
      <protection locked="0"/>
    </xf>
    <xf numFmtId="0" fontId="1" fillId="0" borderId="76" xfId="5" applyFont="1" applyBorder="1" applyAlignment="1">
      <alignment horizontal="center" vertical="center"/>
    </xf>
    <xf numFmtId="0" fontId="26" fillId="0" borderId="8" xfId="5" applyFont="1" applyBorder="1" applyAlignment="1">
      <alignment vertical="center"/>
    </xf>
    <xf numFmtId="0" fontId="26" fillId="0" borderId="5" xfId="5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47" fillId="0" borderId="19" xfId="5" applyFont="1" applyBorder="1" applyAlignment="1" applyProtection="1">
      <alignment vertical="center"/>
      <protection locked="0"/>
    </xf>
    <xf numFmtId="0" fontId="16" fillId="0" borderId="19" xfId="5" applyFont="1" applyBorder="1" applyAlignment="1" applyProtection="1">
      <alignment horizontal="center" vertical="center"/>
      <protection locked="0"/>
    </xf>
    <xf numFmtId="0" fontId="48" fillId="0" borderId="19" xfId="5" applyFont="1" applyBorder="1" applyAlignment="1">
      <alignment vertical="center"/>
    </xf>
    <xf numFmtId="0" fontId="3" fillId="0" borderId="29" xfId="0" applyFont="1" applyBorder="1" applyAlignment="1">
      <alignment horizontal="center" vertical="center"/>
    </xf>
    <xf numFmtId="0" fontId="16" fillId="0" borderId="49" xfId="5" applyFont="1" applyBorder="1" applyAlignment="1" applyProtection="1">
      <alignment vertical="center"/>
      <protection locked="0"/>
    </xf>
    <xf numFmtId="0" fontId="1" fillId="0" borderId="30" xfId="5" applyFont="1" applyBorder="1" applyAlignment="1">
      <alignment horizontal="center" vertical="center"/>
    </xf>
    <xf numFmtId="0" fontId="16" fillId="0" borderId="30" xfId="5" applyFont="1" applyBorder="1" applyAlignment="1" applyProtection="1">
      <alignment vertical="center"/>
      <protection locked="0"/>
    </xf>
    <xf numFmtId="0" fontId="16" fillId="0" borderId="30" xfId="5" applyFont="1" applyBorder="1" applyAlignment="1">
      <alignment horizontal="center" vertical="center"/>
    </xf>
    <xf numFmtId="0" fontId="26" fillId="6" borderId="34" xfId="5" applyFont="1" applyFill="1" applyBorder="1" applyAlignment="1">
      <alignment horizontal="center" vertical="center"/>
    </xf>
    <xf numFmtId="0" fontId="26" fillId="6" borderId="8" xfId="5" applyFont="1" applyFill="1" applyBorder="1" applyAlignment="1">
      <alignment vertical="center"/>
    </xf>
    <xf numFmtId="0" fontId="3" fillId="0" borderId="5" xfId="0" applyFont="1" applyBorder="1" applyAlignment="1">
      <alignment horizontal="center" vertical="center"/>
    </xf>
    <xf numFmtId="0" fontId="1" fillId="6" borderId="18" xfId="5" applyFont="1" applyFill="1" applyBorder="1" applyAlignment="1">
      <alignment vertical="center"/>
    </xf>
    <xf numFmtId="0" fontId="1" fillId="6" borderId="19" xfId="5" applyFont="1" applyFill="1" applyBorder="1" applyAlignment="1">
      <alignment vertical="center"/>
    </xf>
    <xf numFmtId="0" fontId="26" fillId="0" borderId="19" xfId="0" applyFont="1" applyBorder="1" applyAlignment="1" applyProtection="1">
      <alignment horizontal="center" vertical="center"/>
      <protection locked="0"/>
    </xf>
    <xf numFmtId="49" fontId="2" fillId="0" borderId="21" xfId="5" applyNumberFormat="1" applyFont="1" applyBorder="1" applyAlignment="1" applyProtection="1">
      <alignment vertical="center"/>
      <protection locked="0"/>
    </xf>
    <xf numFmtId="0" fontId="15" fillId="0" borderId="21" xfId="5" applyFont="1" applyBorder="1" applyAlignment="1">
      <alignment horizontal="left" vertical="center"/>
    </xf>
    <xf numFmtId="0" fontId="3" fillId="0" borderId="43" xfId="0" applyFont="1" applyBorder="1" applyAlignment="1">
      <alignment horizontal="center" vertical="center"/>
    </xf>
    <xf numFmtId="0" fontId="1" fillId="0" borderId="15" xfId="5" applyFont="1" applyBorder="1" applyAlignment="1" applyProtection="1">
      <alignment vertical="center"/>
      <protection locked="0"/>
    </xf>
    <xf numFmtId="49" fontId="30" fillId="0" borderId="47" xfId="5" applyNumberFormat="1" applyFont="1" applyBorder="1" applyAlignment="1" applyProtection="1">
      <alignment vertical="center"/>
      <protection locked="0"/>
    </xf>
    <xf numFmtId="49" fontId="2" fillId="0" borderId="34" xfId="5" applyNumberFormat="1" applyFont="1" applyBorder="1" applyAlignment="1" applyProtection="1">
      <alignment vertical="center"/>
      <protection locked="0"/>
    </xf>
    <xf numFmtId="49" fontId="30" fillId="0" borderId="34" xfId="5" applyNumberFormat="1" applyFont="1" applyBorder="1" applyAlignment="1" applyProtection="1">
      <alignment vertical="center"/>
      <protection locked="0"/>
    </xf>
    <xf numFmtId="0" fontId="26" fillId="0" borderId="63" xfId="5" applyFont="1" applyBorder="1" applyAlignment="1">
      <alignment horizontal="center" vertical="center"/>
    </xf>
    <xf numFmtId="0" fontId="1" fillId="0" borderId="34" xfId="5" applyFont="1" applyBorder="1" applyAlignment="1" applyProtection="1">
      <alignment vertical="center"/>
      <protection locked="0"/>
    </xf>
    <xf numFmtId="0" fontId="16" fillId="0" borderId="74" xfId="0" applyFont="1" applyBorder="1" applyAlignment="1">
      <alignment horizontal="center"/>
    </xf>
    <xf numFmtId="164" fontId="1" fillId="0" borderId="10" xfId="5" applyNumberFormat="1" applyFont="1" applyBorder="1" applyAlignment="1">
      <alignment horizontal="center" vertical="center"/>
    </xf>
    <xf numFmtId="164" fontId="1" fillId="0" borderId="29" xfId="5" applyNumberFormat="1" applyFont="1" applyBorder="1" applyAlignment="1">
      <alignment horizontal="center" vertical="center"/>
    </xf>
    <xf numFmtId="0" fontId="9" fillId="5" borderId="66" xfId="0" applyFont="1" applyFill="1" applyBorder="1" applyAlignment="1">
      <alignment vertical="center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77" xfId="5" applyFont="1" applyBorder="1" applyAlignment="1">
      <alignment horizontal="center" vertical="center" wrapText="1"/>
    </xf>
    <xf numFmtId="0" fontId="9" fillId="0" borderId="15" xfId="0" applyFont="1" applyBorder="1" applyAlignment="1" applyProtection="1">
      <alignment horizontal="center" vertical="center"/>
      <protection locked="0"/>
    </xf>
    <xf numFmtId="0" fontId="17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17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56" fillId="15" borderId="15" xfId="0" applyFont="1" applyFill="1" applyBorder="1" applyAlignment="1" applyProtection="1">
      <alignment horizontal="center" vertical="center"/>
      <protection locked="0"/>
    </xf>
    <xf numFmtId="0" fontId="17" fillId="0" borderId="23" xfId="0" applyFont="1" applyBorder="1" applyAlignment="1" applyProtection="1">
      <alignment horizontal="center" vertical="center"/>
      <protection locked="0"/>
    </xf>
    <xf numFmtId="0" fontId="9" fillId="0" borderId="44" xfId="0" applyFont="1" applyBorder="1" applyAlignment="1" applyProtection="1">
      <alignment horizontal="center" vertical="center"/>
      <protection locked="0"/>
    </xf>
    <xf numFmtId="0" fontId="9" fillId="0" borderId="23" xfId="0" applyFont="1" applyBorder="1" applyAlignment="1" applyProtection="1">
      <alignment horizontal="center" vertical="center"/>
      <protection locked="0"/>
    </xf>
    <xf numFmtId="0" fontId="17" fillId="14" borderId="15" xfId="5" applyFont="1" applyFill="1" applyBorder="1" applyAlignment="1">
      <alignment horizontal="center" vertical="center" wrapText="1"/>
    </xf>
    <xf numFmtId="0" fontId="17" fillId="14" borderId="15" xfId="5" applyFont="1" applyFill="1" applyBorder="1" applyAlignment="1">
      <alignment horizontal="center" vertical="center"/>
    </xf>
    <xf numFmtId="164" fontId="17" fillId="14" borderId="15" xfId="5" applyNumberFormat="1" applyFont="1" applyFill="1" applyBorder="1" applyAlignment="1">
      <alignment horizontal="center" vertical="center"/>
    </xf>
    <xf numFmtId="0" fontId="9" fillId="14" borderId="15" xfId="0" applyFont="1" applyFill="1" applyBorder="1" applyAlignment="1" applyProtection="1">
      <alignment horizontal="center" vertical="center"/>
      <protection locked="0"/>
    </xf>
    <xf numFmtId="0" fontId="17" fillId="0" borderId="10" xfId="0" applyFont="1" applyBorder="1" applyAlignment="1" applyProtection="1">
      <alignment horizontal="center" vertical="center"/>
      <protection locked="0"/>
    </xf>
    <xf numFmtId="0" fontId="17" fillId="0" borderId="2" xfId="0" applyFont="1" applyBorder="1" applyAlignment="1" applyProtection="1">
      <alignment horizontal="center" vertical="center"/>
      <protection locked="0"/>
    </xf>
    <xf numFmtId="0" fontId="17" fillId="0" borderId="42" xfId="0" applyFont="1" applyBorder="1" applyAlignment="1" applyProtection="1">
      <alignment horizontal="center" vertical="center"/>
      <protection locked="0"/>
    </xf>
    <xf numFmtId="0" fontId="17" fillId="0" borderId="15" xfId="0" applyFont="1" applyBorder="1" applyAlignment="1">
      <alignment horizontal="center" vertical="center"/>
    </xf>
    <xf numFmtId="0" fontId="9" fillId="0" borderId="15" xfId="5" applyFont="1" applyBorder="1" applyAlignment="1">
      <alignment horizontal="center" vertical="center"/>
    </xf>
    <xf numFmtId="0" fontId="17" fillId="0" borderId="15" xfId="0" applyFont="1" applyBorder="1" applyAlignment="1" applyProtection="1">
      <alignment vertical="center"/>
      <protection locked="0"/>
    </xf>
    <xf numFmtId="0" fontId="42" fillId="0" borderId="15" xfId="0" applyFont="1" applyBorder="1" applyAlignment="1" applyProtection="1">
      <alignment vertical="center"/>
      <protection locked="0"/>
    </xf>
    <xf numFmtId="0" fontId="17" fillId="0" borderId="25" xfId="0" applyFont="1" applyBorder="1" applyAlignment="1">
      <alignment horizontal="center" vertical="center"/>
    </xf>
    <xf numFmtId="0" fontId="9" fillId="0" borderId="15" xfId="0" applyFont="1" applyBorder="1" applyAlignment="1" applyProtection="1">
      <alignment horizontal="left" vertical="center"/>
      <protection locked="0"/>
    </xf>
    <xf numFmtId="0" fontId="17" fillId="4" borderId="15" xfId="0" applyFont="1" applyFill="1" applyBorder="1" applyAlignment="1">
      <alignment horizontal="center" vertical="center"/>
    </xf>
    <xf numFmtId="0" fontId="9" fillId="4" borderId="15" xfId="0" applyFont="1" applyFill="1" applyBorder="1" applyAlignment="1" applyProtection="1">
      <alignment vertical="center"/>
      <protection locked="0"/>
    </xf>
    <xf numFmtId="0" fontId="9" fillId="4" borderId="15" xfId="0" applyFont="1" applyFill="1" applyBorder="1" applyAlignment="1" applyProtection="1">
      <alignment horizontal="center" vertical="center"/>
      <protection locked="0"/>
    </xf>
    <xf numFmtId="0" fontId="17" fillId="4" borderId="15" xfId="0" applyFont="1" applyFill="1" applyBorder="1" applyAlignment="1" applyProtection="1">
      <alignment vertical="center"/>
      <protection locked="0"/>
    </xf>
    <xf numFmtId="0" fontId="17" fillId="4" borderId="15" xfId="0" applyFont="1" applyFill="1" applyBorder="1" applyAlignment="1" applyProtection="1">
      <alignment horizontal="center" vertical="center"/>
      <protection locked="0"/>
    </xf>
    <xf numFmtId="0" fontId="9" fillId="4" borderId="15" xfId="0" applyFont="1" applyFill="1" applyBorder="1" applyAlignment="1" applyProtection="1">
      <alignment horizontal="left" vertical="center"/>
      <protection locked="0"/>
    </xf>
    <xf numFmtId="0" fontId="0" fillId="6" borderId="48" xfId="0" applyFill="1" applyBorder="1" applyAlignment="1">
      <alignment horizontal="center" vertical="center"/>
    </xf>
    <xf numFmtId="0" fontId="9" fillId="4" borderId="15" xfId="5" applyFont="1" applyFill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17" fillId="4" borderId="0" xfId="0" applyFont="1" applyFill="1" applyAlignment="1" applyProtection="1">
      <alignment vertical="center"/>
      <protection locked="0"/>
    </xf>
    <xf numFmtId="0" fontId="30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50" fillId="4" borderId="0" xfId="0" applyFont="1" applyFill="1" applyAlignment="1">
      <alignment horizontal="center" vertical="center"/>
    </xf>
    <xf numFmtId="0" fontId="9" fillId="4" borderId="0" xfId="0" applyFont="1" applyFill="1" applyAlignment="1" applyProtection="1">
      <alignment horizontal="center" vertical="center"/>
      <protection locked="0"/>
    </xf>
    <xf numFmtId="0" fontId="51" fillId="4" borderId="0" xfId="0" applyFont="1" applyFill="1" applyAlignment="1">
      <alignment horizontal="center" vertical="center"/>
    </xf>
    <xf numFmtId="14" fontId="16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13" fillId="4" borderId="15" xfId="0" applyFont="1" applyFill="1" applyBorder="1" applyAlignment="1">
      <alignment horizontal="center" wrapText="1"/>
    </xf>
    <xf numFmtId="0" fontId="57" fillId="4" borderId="15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4" borderId="15" xfId="0" applyFill="1" applyBorder="1" applyAlignment="1">
      <alignment horizontal="center"/>
    </xf>
    <xf numFmtId="0" fontId="17" fillId="4" borderId="15" xfId="5" applyFont="1" applyFill="1" applyBorder="1" applyAlignment="1">
      <alignment vertical="center"/>
    </xf>
    <xf numFmtId="16" fontId="17" fillId="0" borderId="0" xfId="0" applyNumberFormat="1" applyFont="1" applyAlignment="1" applyProtection="1">
      <alignment vertical="center"/>
      <protection locked="0"/>
    </xf>
    <xf numFmtId="0" fontId="17" fillId="4" borderId="15" xfId="5" applyFont="1" applyFill="1" applyBorder="1" applyAlignment="1">
      <alignment horizontal="center" vertical="center"/>
    </xf>
    <xf numFmtId="0" fontId="17" fillId="16" borderId="15" xfId="0" applyFont="1" applyFill="1" applyBorder="1" applyAlignment="1">
      <alignment horizontal="center" vertical="center"/>
    </xf>
    <xf numFmtId="16" fontId="9" fillId="4" borderId="15" xfId="0" applyNumberFormat="1" applyFont="1" applyFill="1" applyBorder="1" applyAlignment="1" applyProtection="1">
      <alignment horizontal="center" vertical="center"/>
      <protection locked="0"/>
    </xf>
    <xf numFmtId="0" fontId="42" fillId="0" borderId="15" xfId="0" applyFont="1" applyBorder="1" applyAlignment="1" applyProtection="1">
      <alignment horizontal="center" vertical="center"/>
      <protection locked="0"/>
    </xf>
    <xf numFmtId="0" fontId="56" fillId="6" borderId="15" xfId="0" applyFont="1" applyFill="1" applyBorder="1" applyAlignment="1" applyProtection="1">
      <alignment horizontal="center" vertical="center"/>
      <protection locked="0"/>
    </xf>
    <xf numFmtId="0" fontId="9" fillId="6" borderId="0" xfId="0" applyFont="1" applyFill="1" applyAlignment="1" applyProtection="1">
      <alignment horizontal="center" vertical="center"/>
      <protection locked="0"/>
    </xf>
    <xf numFmtId="164" fontId="9" fillId="4" borderId="0" xfId="0" applyNumberFormat="1" applyFont="1" applyFill="1" applyAlignment="1">
      <alignment horizontal="center" vertical="center" wrapText="1"/>
    </xf>
    <xf numFmtId="0" fontId="9" fillId="4" borderId="0" xfId="0" applyFont="1" applyFill="1" applyAlignment="1">
      <alignment horizontal="center" vertical="center" wrapText="1"/>
    </xf>
    <xf numFmtId="164" fontId="17" fillId="4" borderId="15" xfId="5" applyNumberFormat="1" applyFont="1" applyFill="1" applyBorder="1" applyAlignment="1">
      <alignment horizontal="center" vertical="center"/>
    </xf>
    <xf numFmtId="0" fontId="16" fillId="17" borderId="23" xfId="0" applyFont="1" applyFill="1" applyBorder="1" applyAlignment="1">
      <alignment horizontal="center" vertical="center"/>
    </xf>
    <xf numFmtId="0" fontId="46" fillId="17" borderId="15" xfId="0" applyFont="1" applyFill="1" applyBorder="1"/>
    <xf numFmtId="0" fontId="16" fillId="17" borderId="15" xfId="0" applyFont="1" applyFill="1" applyBorder="1" applyAlignment="1">
      <alignment horizontal="center" vertical="center"/>
    </xf>
    <xf numFmtId="14" fontId="9" fillId="17" borderId="15" xfId="0" applyNumberFormat="1" applyFont="1" applyFill="1" applyBorder="1" applyAlignment="1">
      <alignment horizontal="center" vertical="center"/>
    </xf>
    <xf numFmtId="0" fontId="30" fillId="17" borderId="44" xfId="0" applyFont="1" applyFill="1" applyBorder="1" applyAlignment="1">
      <alignment horizontal="center" vertical="center"/>
    </xf>
    <xf numFmtId="0" fontId="16" fillId="18" borderId="23" xfId="0" applyFont="1" applyFill="1" applyBorder="1" applyAlignment="1">
      <alignment horizontal="center" vertical="center"/>
    </xf>
    <xf numFmtId="0" fontId="46" fillId="18" borderId="15" xfId="0" applyFont="1" applyFill="1" applyBorder="1"/>
    <xf numFmtId="0" fontId="16" fillId="18" borderId="15" xfId="0" applyFont="1" applyFill="1" applyBorder="1" applyAlignment="1">
      <alignment horizontal="center" vertical="center"/>
    </xf>
    <xf numFmtId="0" fontId="30" fillId="18" borderId="44" xfId="0" applyFont="1" applyFill="1" applyBorder="1" applyAlignment="1">
      <alignment horizontal="center" vertical="center"/>
    </xf>
    <xf numFmtId="0" fontId="0" fillId="0" borderId="22" xfId="0" applyBorder="1"/>
    <xf numFmtId="0" fontId="0" fillId="0" borderId="24" xfId="0" applyBorder="1"/>
    <xf numFmtId="0" fontId="50" fillId="5" borderId="61" xfId="0" applyFont="1" applyFill="1" applyBorder="1" applyAlignment="1">
      <alignment horizontal="center" vertical="center"/>
    </xf>
    <xf numFmtId="14" fontId="50" fillId="5" borderId="4" xfId="0" applyNumberFormat="1" applyFont="1" applyFill="1" applyBorder="1" applyAlignment="1">
      <alignment horizontal="center" vertical="center"/>
    </xf>
    <xf numFmtId="14" fontId="50" fillId="5" borderId="51" xfId="0" applyNumberFormat="1" applyFont="1" applyFill="1" applyBorder="1" applyAlignment="1">
      <alignment horizontal="center" vertical="center"/>
    </xf>
    <xf numFmtId="14" fontId="50" fillId="5" borderId="66" xfId="0" applyNumberFormat="1" applyFont="1" applyFill="1" applyBorder="1" applyAlignment="1">
      <alignment horizontal="center" vertical="center"/>
    </xf>
    <xf numFmtId="0" fontId="56" fillId="4" borderId="15" xfId="0" applyFont="1" applyFill="1" applyBorder="1" applyAlignment="1" applyProtection="1">
      <alignment horizontal="center" vertical="center"/>
      <protection locked="0"/>
    </xf>
    <xf numFmtId="0" fontId="42" fillId="4" borderId="0" xfId="0" applyFont="1" applyFill="1" applyAlignment="1">
      <alignment horizontal="center" vertical="center"/>
    </xf>
    <xf numFmtId="0" fontId="2" fillId="19" borderId="8" xfId="0" applyFont="1" applyFill="1" applyBorder="1" applyAlignment="1">
      <alignment horizontal="center" vertical="center"/>
    </xf>
    <xf numFmtId="0" fontId="2" fillId="19" borderId="5" xfId="0" applyFont="1" applyFill="1" applyBorder="1" applyAlignment="1">
      <alignment horizontal="center" vertical="center"/>
    </xf>
    <xf numFmtId="0" fontId="2" fillId="19" borderId="48" xfId="0" applyFont="1" applyFill="1" applyBorder="1" applyAlignment="1">
      <alignment horizontal="center" vertical="center"/>
    </xf>
    <xf numFmtId="0" fontId="16" fillId="4" borderId="23" xfId="0" applyFont="1" applyFill="1" applyBorder="1" applyAlignment="1">
      <alignment horizontal="center" vertical="center"/>
    </xf>
    <xf numFmtId="0" fontId="16" fillId="4" borderId="15" xfId="0" applyFont="1" applyFill="1" applyBorder="1" applyAlignment="1">
      <alignment horizontal="center" vertical="center"/>
    </xf>
    <xf numFmtId="0" fontId="16" fillId="12" borderId="23" xfId="0" applyFont="1" applyFill="1" applyBorder="1" applyAlignment="1">
      <alignment horizontal="center" vertical="center"/>
    </xf>
    <xf numFmtId="0" fontId="16" fillId="12" borderId="15" xfId="0" applyFont="1" applyFill="1" applyBorder="1" applyAlignment="1">
      <alignment horizontal="center" vertical="center"/>
    </xf>
    <xf numFmtId="0" fontId="42" fillId="0" borderId="15" xfId="0" applyFont="1" applyBorder="1" applyAlignment="1">
      <alignment horizontal="center" vertical="center"/>
    </xf>
    <xf numFmtId="0" fontId="57" fillId="4" borderId="15" xfId="0" applyFont="1" applyFill="1" applyBorder="1" applyAlignment="1">
      <alignment horizontal="center"/>
    </xf>
    <xf numFmtId="0" fontId="17" fillId="0" borderId="15" xfId="0" applyFont="1" applyBorder="1" applyAlignment="1" applyProtection="1">
      <alignment horizontal="center" vertical="center"/>
      <protection locked="0"/>
    </xf>
    <xf numFmtId="0" fontId="16" fillId="4" borderId="23" xfId="0" quotePrefix="1" applyFont="1" applyFill="1" applyBorder="1" applyAlignment="1">
      <alignment horizontal="center" vertical="center"/>
    </xf>
    <xf numFmtId="0" fontId="16" fillId="12" borderId="23" xfId="0" quotePrefix="1" applyFont="1" applyFill="1" applyBorder="1" applyAlignment="1">
      <alignment horizontal="center" vertical="center"/>
    </xf>
    <xf numFmtId="14" fontId="9" fillId="4" borderId="15" xfId="0" applyNumberFormat="1" applyFont="1" applyFill="1" applyBorder="1" applyAlignment="1" applyProtection="1">
      <alignment horizontal="center" vertical="center"/>
      <protection locked="0"/>
    </xf>
    <xf numFmtId="0" fontId="9" fillId="20" borderId="15" xfId="0" applyFont="1" applyFill="1" applyBorder="1" applyAlignment="1" applyProtection="1">
      <alignment vertical="center"/>
      <protection locked="0"/>
    </xf>
    <xf numFmtId="0" fontId="17" fillId="5" borderId="25" xfId="0" applyFont="1" applyFill="1" applyBorder="1" applyAlignment="1">
      <alignment horizontal="center" vertical="center"/>
    </xf>
    <xf numFmtId="0" fontId="17" fillId="8" borderId="15" xfId="0" applyFont="1" applyFill="1" applyBorder="1" applyAlignment="1">
      <alignment horizontal="center" vertical="center"/>
    </xf>
    <xf numFmtId="0" fontId="59" fillId="0" borderId="15" xfId="0" applyFont="1" applyBorder="1" applyAlignment="1">
      <alignment horizontal="center" vertical="center"/>
    </xf>
    <xf numFmtId="0" fontId="16" fillId="12" borderId="10" xfId="0" applyFont="1" applyFill="1" applyBorder="1" applyAlignment="1">
      <alignment horizontal="center" vertical="center"/>
    </xf>
    <xf numFmtId="0" fontId="16" fillId="12" borderId="2" xfId="0" applyFont="1" applyFill="1" applyBorder="1" applyAlignment="1">
      <alignment horizontal="center" vertical="center"/>
    </xf>
    <xf numFmtId="0" fontId="17" fillId="4" borderId="34" xfId="0" applyFont="1" applyFill="1" applyBorder="1" applyAlignment="1" applyProtection="1">
      <alignment vertical="center"/>
      <protection locked="0"/>
    </xf>
    <xf numFmtId="0" fontId="17" fillId="21" borderId="15" xfId="0" applyFont="1" applyFill="1" applyBorder="1" applyAlignment="1">
      <alignment horizontal="center" vertical="center"/>
    </xf>
    <xf numFmtId="0" fontId="42" fillId="21" borderId="15" xfId="0" applyFont="1" applyFill="1" applyBorder="1" applyAlignment="1">
      <alignment horizontal="center" vertical="center"/>
    </xf>
    <xf numFmtId="0" fontId="9" fillId="21" borderId="15" xfId="5" applyFont="1" applyFill="1" applyBorder="1" applyAlignment="1">
      <alignment horizontal="center" vertical="center"/>
    </xf>
    <xf numFmtId="0" fontId="57" fillId="4" borderId="34" xfId="0" applyFont="1" applyFill="1" applyBorder="1" applyAlignment="1">
      <alignment horizontal="center"/>
    </xf>
    <xf numFmtId="0" fontId="57" fillId="4" borderId="34" xfId="0" applyFont="1" applyFill="1" applyBorder="1" applyAlignment="1">
      <alignment horizontal="center" vertical="center"/>
    </xf>
    <xf numFmtId="0" fontId="17" fillId="4" borderId="0" xfId="5" applyFont="1" applyFill="1" applyAlignment="1">
      <alignment horizontal="center" vertical="center"/>
    </xf>
    <xf numFmtId="0" fontId="17" fillId="21" borderId="15" xfId="5" applyFont="1" applyFill="1" applyBorder="1" applyAlignment="1">
      <alignment vertical="center"/>
    </xf>
    <xf numFmtId="0" fontId="17" fillId="21" borderId="15" xfId="5" applyFont="1" applyFill="1" applyBorder="1" applyAlignment="1">
      <alignment horizontal="center" vertical="center"/>
    </xf>
    <xf numFmtId="0" fontId="17" fillId="4" borderId="19" xfId="0" applyFont="1" applyFill="1" applyBorder="1" applyAlignment="1">
      <alignment horizontal="center" vertical="center"/>
    </xf>
    <xf numFmtId="0" fontId="42" fillId="4" borderId="15" xfId="0" applyFont="1" applyFill="1" applyBorder="1" applyAlignment="1">
      <alignment horizontal="center" vertical="center"/>
    </xf>
    <xf numFmtId="0" fontId="16" fillId="18" borderId="10" xfId="0" applyFont="1" applyFill="1" applyBorder="1" applyAlignment="1">
      <alignment horizontal="center" vertical="center"/>
    </xf>
    <xf numFmtId="0" fontId="46" fillId="18" borderId="2" xfId="0" applyFont="1" applyFill="1" applyBorder="1"/>
    <xf numFmtId="0" fontId="16" fillId="18" borderId="2" xfId="0" applyFont="1" applyFill="1" applyBorder="1" applyAlignment="1">
      <alignment horizontal="center" vertical="center"/>
    </xf>
    <xf numFmtId="14" fontId="9" fillId="17" borderId="2" xfId="0" applyNumberFormat="1" applyFont="1" applyFill="1" applyBorder="1" applyAlignment="1">
      <alignment horizontal="center" vertical="center"/>
    </xf>
    <xf numFmtId="0" fontId="30" fillId="18" borderId="42" xfId="0" applyFont="1" applyFill="1" applyBorder="1" applyAlignment="1">
      <alignment horizontal="center" vertical="center"/>
    </xf>
    <xf numFmtId="0" fontId="1" fillId="0" borderId="67" xfId="0" applyFont="1" applyBorder="1" applyAlignment="1" applyProtection="1">
      <alignment horizontal="center" vertical="center"/>
      <protection locked="0"/>
    </xf>
    <xf numFmtId="0" fontId="1" fillId="0" borderId="53" xfId="0" applyFont="1" applyBorder="1" applyAlignment="1" applyProtection="1">
      <alignment horizontal="center" vertical="center"/>
      <protection locked="0"/>
    </xf>
    <xf numFmtId="0" fontId="1" fillId="10" borderId="68" xfId="5" applyFont="1" applyFill="1" applyBorder="1" applyAlignment="1" applyProtection="1">
      <alignment horizontal="center" vertical="center" wrapText="1"/>
      <protection locked="0"/>
    </xf>
    <xf numFmtId="0" fontId="1" fillId="10" borderId="28" xfId="5" applyFont="1" applyFill="1" applyBorder="1" applyAlignment="1" applyProtection="1">
      <alignment horizontal="center" vertical="center" wrapText="1"/>
      <protection locked="0"/>
    </xf>
    <xf numFmtId="0" fontId="1" fillId="10" borderId="64" xfId="5" applyFont="1" applyFill="1" applyBorder="1" applyAlignment="1" applyProtection="1">
      <alignment horizontal="center" vertical="center"/>
      <protection locked="0"/>
    </xf>
    <xf numFmtId="0" fontId="1" fillId="10" borderId="35" xfId="5" applyFont="1" applyFill="1" applyBorder="1" applyAlignment="1" applyProtection="1">
      <alignment horizontal="center" vertical="center"/>
      <protection locked="0"/>
    </xf>
    <xf numFmtId="0" fontId="1" fillId="10" borderId="61" xfId="5" applyFont="1" applyFill="1" applyBorder="1" applyAlignment="1" applyProtection="1">
      <alignment horizontal="center" vertical="center"/>
      <protection locked="0"/>
    </xf>
    <xf numFmtId="0" fontId="1" fillId="10" borderId="39" xfId="5" applyFont="1" applyFill="1" applyBorder="1" applyAlignment="1" applyProtection="1">
      <alignment horizontal="center" vertical="center"/>
      <protection locked="0"/>
    </xf>
    <xf numFmtId="0" fontId="3" fillId="4" borderId="19" xfId="5" applyFill="1" applyBorder="1" applyAlignment="1" applyProtection="1">
      <alignment horizontal="center" vertical="center"/>
      <protection locked="0"/>
    </xf>
    <xf numFmtId="0" fontId="3" fillId="4" borderId="36" xfId="5" applyFill="1" applyBorder="1" applyAlignment="1" applyProtection="1">
      <alignment horizontal="center" vertical="center"/>
      <protection locked="0"/>
    </xf>
    <xf numFmtId="0" fontId="3" fillId="4" borderId="15" xfId="5" applyFill="1" applyBorder="1" applyAlignment="1" applyProtection="1">
      <alignment horizontal="center" vertical="center"/>
      <protection locked="0"/>
    </xf>
    <xf numFmtId="0" fontId="3" fillId="4" borderId="25" xfId="5" applyFill="1" applyBorder="1" applyAlignment="1" applyProtection="1">
      <alignment horizontal="center" vertical="center"/>
      <protection locked="0"/>
    </xf>
    <xf numFmtId="0" fontId="3" fillId="4" borderId="21" xfId="5" applyFill="1" applyBorder="1" applyAlignment="1" applyProtection="1">
      <alignment horizontal="center" vertical="center"/>
      <protection locked="0"/>
    </xf>
    <xf numFmtId="0" fontId="3" fillId="4" borderId="38" xfId="5" applyFill="1" applyBorder="1" applyAlignment="1" applyProtection="1">
      <alignment horizontal="center" vertical="center"/>
      <protection locked="0"/>
    </xf>
    <xf numFmtId="0" fontId="3" fillId="0" borderId="2" xfId="5" applyBorder="1" applyAlignment="1" applyProtection="1">
      <alignment horizontal="center" vertical="center"/>
      <protection locked="0"/>
    </xf>
    <xf numFmtId="0" fontId="3" fillId="0" borderId="33" xfId="5" applyBorder="1" applyAlignment="1" applyProtection="1">
      <alignment horizontal="center" vertical="center"/>
      <protection locked="0"/>
    </xf>
    <xf numFmtId="0" fontId="1" fillId="0" borderId="69" xfId="0" applyFont="1" applyBorder="1" applyAlignment="1" applyProtection="1">
      <alignment horizontal="center" vertical="center"/>
      <protection locked="0"/>
    </xf>
    <xf numFmtId="0" fontId="1" fillId="0" borderId="70" xfId="0" applyFont="1" applyBorder="1" applyAlignment="1" applyProtection="1">
      <alignment horizontal="center" vertical="center"/>
      <protection locked="0"/>
    </xf>
    <xf numFmtId="0" fontId="3" fillId="4" borderId="24" xfId="5" applyFill="1" applyBorder="1" applyAlignment="1" applyProtection="1">
      <alignment horizontal="center" vertical="center"/>
      <protection locked="0"/>
    </xf>
    <xf numFmtId="0" fontId="3" fillId="4" borderId="33" xfId="5" applyFill="1" applyBorder="1" applyAlignment="1" applyProtection="1">
      <alignment horizontal="center" vertical="center"/>
      <protection locked="0"/>
    </xf>
    <xf numFmtId="0" fontId="3" fillId="4" borderId="59" xfId="5" applyFill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51" xfId="0" applyFont="1" applyBorder="1" applyAlignment="1" applyProtection="1">
      <alignment horizontal="center" vertical="center"/>
      <protection locked="0"/>
    </xf>
    <xf numFmtId="0" fontId="1" fillId="9" borderId="68" xfId="5" applyFont="1" applyFill="1" applyBorder="1" applyAlignment="1" applyProtection="1">
      <alignment horizontal="center" vertical="center" wrapText="1"/>
      <protection locked="0"/>
    </xf>
    <xf numFmtId="0" fontId="1" fillId="9" borderId="28" xfId="5" applyFont="1" applyFill="1" applyBorder="1" applyAlignment="1" applyProtection="1">
      <alignment horizontal="center" vertical="center" wrapText="1"/>
      <protection locked="0"/>
    </xf>
    <xf numFmtId="0" fontId="1" fillId="9" borderId="40" xfId="5" applyFont="1" applyFill="1" applyBorder="1" applyAlignment="1" applyProtection="1">
      <alignment horizontal="center" vertical="center"/>
      <protection locked="0"/>
    </xf>
    <xf numFmtId="0" fontId="1" fillId="9" borderId="17" xfId="5" applyFont="1" applyFill="1" applyBorder="1" applyAlignment="1" applyProtection="1">
      <alignment horizontal="center" vertical="center"/>
      <protection locked="0"/>
    </xf>
    <xf numFmtId="0" fontId="1" fillId="9" borderId="10" xfId="5" applyFont="1" applyFill="1" applyBorder="1" applyAlignment="1" applyProtection="1">
      <alignment horizontal="center" vertical="center"/>
      <protection locked="0"/>
    </xf>
    <xf numFmtId="0" fontId="1" fillId="9" borderId="33" xfId="5" applyFont="1" applyFill="1" applyBorder="1" applyAlignment="1" applyProtection="1">
      <alignment horizontal="center" vertical="center"/>
      <protection locked="0"/>
    </xf>
    <xf numFmtId="0" fontId="1" fillId="11" borderId="68" xfId="5" applyFont="1" applyFill="1" applyBorder="1" applyAlignment="1" applyProtection="1">
      <alignment horizontal="center" vertical="center" wrapText="1"/>
      <protection locked="0"/>
    </xf>
    <xf numFmtId="0" fontId="1" fillId="11" borderId="28" xfId="5" applyFont="1" applyFill="1" applyBorder="1" applyAlignment="1" applyProtection="1">
      <alignment horizontal="center" vertical="center" wrapText="1"/>
      <protection locked="0"/>
    </xf>
    <xf numFmtId="0" fontId="1" fillId="11" borderId="64" xfId="5" applyFont="1" applyFill="1" applyBorder="1" applyAlignment="1" applyProtection="1">
      <alignment horizontal="center" vertical="center"/>
      <protection locked="0"/>
    </xf>
    <xf numFmtId="0" fontId="1" fillId="11" borderId="35" xfId="5" applyFont="1" applyFill="1" applyBorder="1" applyAlignment="1" applyProtection="1">
      <alignment horizontal="center" vertical="center"/>
      <protection locked="0"/>
    </xf>
    <xf numFmtId="0" fontId="1" fillId="11" borderId="61" xfId="5" applyFont="1" applyFill="1" applyBorder="1" applyAlignment="1" applyProtection="1">
      <alignment horizontal="center" vertical="center"/>
      <protection locked="0"/>
    </xf>
    <xf numFmtId="0" fontId="1" fillId="11" borderId="39" xfId="5" applyFont="1" applyFill="1" applyBorder="1" applyAlignment="1" applyProtection="1">
      <alignment horizontal="center" vertical="center"/>
      <protection locked="0"/>
    </xf>
    <xf numFmtId="49" fontId="4" fillId="2" borderId="4" xfId="5" applyNumberFormat="1" applyFont="1" applyFill="1" applyBorder="1" applyAlignment="1" applyProtection="1">
      <alignment horizontal="center" vertical="center"/>
      <protection locked="0"/>
    </xf>
    <xf numFmtId="49" fontId="4" fillId="2" borderId="51" xfId="5" applyNumberFormat="1" applyFont="1" applyFill="1" applyBorder="1" applyAlignment="1" applyProtection="1">
      <alignment horizontal="center" vertical="center"/>
      <protection locked="0"/>
    </xf>
    <xf numFmtId="49" fontId="4" fillId="2" borderId="66" xfId="5" applyNumberFormat="1" applyFont="1" applyFill="1" applyBorder="1" applyAlignment="1" applyProtection="1">
      <alignment horizontal="center" vertical="center"/>
      <protection locked="0"/>
    </xf>
    <xf numFmtId="0" fontId="1" fillId="3" borderId="40" xfId="5" applyFont="1" applyFill="1" applyBorder="1" applyAlignment="1" applyProtection="1">
      <alignment horizontal="center" vertical="center" wrapText="1"/>
      <protection locked="0"/>
    </xf>
    <xf numFmtId="0" fontId="1" fillId="3" borderId="3" xfId="5" applyFont="1" applyFill="1" applyBorder="1" applyAlignment="1" applyProtection="1">
      <alignment horizontal="center" vertical="center" wrapText="1"/>
      <protection locked="0"/>
    </xf>
    <xf numFmtId="0" fontId="1" fillId="5" borderId="41" xfId="5" applyFont="1" applyFill="1" applyBorder="1" applyAlignment="1" applyProtection="1">
      <alignment horizontal="center" vertical="center" wrapText="1"/>
      <protection locked="0"/>
    </xf>
    <xf numFmtId="0" fontId="1" fillId="3" borderId="10" xfId="5" applyFont="1" applyFill="1" applyBorder="1" applyAlignment="1" applyProtection="1">
      <alignment horizontal="center" vertical="center" wrapText="1"/>
      <protection locked="0"/>
    </xf>
    <xf numFmtId="0" fontId="1" fillId="3" borderId="2" xfId="5" applyFont="1" applyFill="1" applyBorder="1" applyAlignment="1" applyProtection="1">
      <alignment horizontal="center" vertical="center" wrapText="1"/>
      <protection locked="0"/>
    </xf>
    <xf numFmtId="0" fontId="1" fillId="5" borderId="42" xfId="5" applyFont="1" applyFill="1" applyBorder="1" applyAlignment="1" applyProtection="1">
      <alignment horizontal="center" vertical="center" wrapText="1"/>
      <protection locked="0"/>
    </xf>
    <xf numFmtId="0" fontId="3" fillId="0" borderId="40" xfId="5" applyBorder="1" applyAlignment="1" applyProtection="1">
      <alignment horizontal="center" vertical="center"/>
      <protection locked="0"/>
    </xf>
    <xf numFmtId="0" fontId="3" fillId="0" borderId="3" xfId="5" applyBorder="1" applyAlignment="1" applyProtection="1">
      <alignment horizontal="center" vertical="center"/>
      <protection locked="0"/>
    </xf>
    <xf numFmtId="0" fontId="3" fillId="0" borderId="17" xfId="5" applyBorder="1" applyAlignment="1" applyProtection="1">
      <alignment horizontal="center" vertical="center"/>
      <protection locked="0"/>
    </xf>
    <xf numFmtId="0" fontId="3" fillId="0" borderId="10" xfId="5" applyBorder="1" applyAlignment="1" applyProtection="1">
      <alignment horizontal="center" vertical="center"/>
      <protection locked="0"/>
    </xf>
    <xf numFmtId="0" fontId="0" fillId="0" borderId="51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2" fillId="0" borderId="69" xfId="5" applyFont="1" applyBorder="1" applyAlignment="1" applyProtection="1">
      <alignment horizontal="center" vertical="center" wrapText="1"/>
      <protection locked="0"/>
    </xf>
    <xf numFmtId="0" fontId="2" fillId="0" borderId="65" xfId="5" applyFont="1" applyBorder="1" applyAlignment="1" applyProtection="1">
      <alignment horizontal="center" vertical="center" wrapText="1"/>
      <protection locked="0"/>
    </xf>
    <xf numFmtId="0" fontId="2" fillId="0" borderId="70" xfId="5" applyFont="1" applyBorder="1" applyAlignment="1" applyProtection="1">
      <alignment horizontal="center" vertical="center" wrapText="1"/>
      <protection locked="0"/>
    </xf>
    <xf numFmtId="0" fontId="2" fillId="0" borderId="71" xfId="5" applyFont="1" applyBorder="1" applyAlignment="1" applyProtection="1">
      <alignment horizontal="center" vertical="center" wrapText="1"/>
      <protection locked="0"/>
    </xf>
    <xf numFmtId="0" fontId="1" fillId="3" borderId="68" xfId="5" applyFont="1" applyFill="1" applyBorder="1" applyAlignment="1" applyProtection="1">
      <alignment horizontal="center" vertical="center" wrapText="1"/>
      <protection locked="0"/>
    </xf>
    <xf numFmtId="0" fontId="1" fillId="3" borderId="28" xfId="5" applyFont="1" applyFill="1" applyBorder="1" applyAlignment="1" applyProtection="1">
      <alignment horizontal="center" vertical="center" wrapText="1"/>
      <protection locked="0"/>
    </xf>
    <xf numFmtId="0" fontId="1" fillId="5" borderId="40" xfId="5" applyFont="1" applyFill="1" applyBorder="1" applyAlignment="1" applyProtection="1">
      <alignment horizontal="center" vertical="center"/>
      <protection locked="0"/>
    </xf>
    <xf numFmtId="0" fontId="1" fillId="5" borderId="17" xfId="5" applyFont="1" applyFill="1" applyBorder="1" applyAlignment="1" applyProtection="1">
      <alignment horizontal="center" vertical="center"/>
      <protection locked="0"/>
    </xf>
    <xf numFmtId="0" fontId="1" fillId="5" borderId="10" xfId="5" applyFont="1" applyFill="1" applyBorder="1" applyAlignment="1" applyProtection="1">
      <alignment horizontal="center" vertical="center"/>
      <protection locked="0"/>
    </xf>
    <xf numFmtId="0" fontId="1" fillId="5" borderId="33" xfId="5" applyFont="1" applyFill="1" applyBorder="1" applyAlignment="1" applyProtection="1">
      <alignment horizontal="center" vertical="center"/>
      <protection locked="0"/>
    </xf>
    <xf numFmtId="0" fontId="1" fillId="9" borderId="3" xfId="5" applyFont="1" applyFill="1" applyBorder="1" applyAlignment="1" applyProtection="1">
      <alignment horizontal="center" vertical="center"/>
      <protection locked="0"/>
    </xf>
    <xf numFmtId="0" fontId="1" fillId="9" borderId="2" xfId="5" applyFont="1" applyFill="1" applyBorder="1" applyAlignment="1" applyProtection="1">
      <alignment horizontal="center" vertical="center"/>
      <protection locked="0"/>
    </xf>
    <xf numFmtId="0" fontId="1" fillId="9" borderId="41" xfId="5" applyFont="1" applyFill="1" applyBorder="1" applyAlignment="1" applyProtection="1">
      <alignment horizontal="center" vertical="center" wrapText="1"/>
      <protection locked="0"/>
    </xf>
    <xf numFmtId="0" fontId="1" fillId="9" borderId="42" xfId="5" applyFont="1" applyFill="1" applyBorder="1" applyAlignment="1" applyProtection="1">
      <alignment horizontal="center" vertical="center" wrapText="1"/>
      <protection locked="0"/>
    </xf>
    <xf numFmtId="0" fontId="1" fillId="10" borderId="8" xfId="5" applyFont="1" applyFill="1" applyBorder="1" applyAlignment="1" applyProtection="1">
      <alignment horizontal="center" vertical="center" wrapText="1"/>
      <protection locked="0"/>
    </xf>
    <xf numFmtId="0" fontId="1" fillId="10" borderId="31" xfId="5" applyFont="1" applyFill="1" applyBorder="1" applyAlignment="1" applyProtection="1">
      <alignment horizontal="center" vertical="center" wrapText="1"/>
      <protection locked="0"/>
    </xf>
    <xf numFmtId="0" fontId="1" fillId="10" borderId="3" xfId="5" applyFont="1" applyFill="1" applyBorder="1" applyAlignment="1" applyProtection="1">
      <alignment horizontal="center" vertical="center"/>
      <protection locked="0"/>
    </xf>
    <xf numFmtId="0" fontId="1" fillId="10" borderId="21" xfId="5" applyFont="1" applyFill="1" applyBorder="1" applyAlignment="1" applyProtection="1">
      <alignment horizontal="center" vertical="center"/>
      <protection locked="0"/>
    </xf>
    <xf numFmtId="0" fontId="1" fillId="10" borderId="41" xfId="5" applyFont="1" applyFill="1" applyBorder="1" applyAlignment="1" applyProtection="1">
      <alignment horizontal="center" vertical="center" wrapText="1"/>
      <protection locked="0"/>
    </xf>
    <xf numFmtId="0" fontId="1" fillId="10" borderId="43" xfId="5" applyFont="1" applyFill="1" applyBorder="1" applyAlignment="1" applyProtection="1">
      <alignment horizontal="center" vertical="center" wrapText="1"/>
      <protection locked="0"/>
    </xf>
    <xf numFmtId="0" fontId="1" fillId="9" borderId="8" xfId="5" applyFont="1" applyFill="1" applyBorder="1" applyAlignment="1" applyProtection="1">
      <alignment horizontal="center" vertical="center" wrapText="1"/>
      <protection locked="0"/>
    </xf>
    <xf numFmtId="0" fontId="1" fillId="9" borderId="49" xfId="5" applyFont="1" applyFill="1" applyBorder="1" applyAlignment="1" applyProtection="1">
      <alignment horizontal="center" vertical="center" wrapText="1"/>
      <protection locked="0"/>
    </xf>
    <xf numFmtId="0" fontId="1" fillId="5" borderId="8" xfId="5" applyFont="1" applyFill="1" applyBorder="1" applyAlignment="1" applyProtection="1">
      <alignment horizontal="center" vertical="center" wrapText="1"/>
      <protection locked="0"/>
    </xf>
    <xf numFmtId="0" fontId="1" fillId="5" borderId="49" xfId="5" applyFont="1" applyFill="1" applyBorder="1" applyAlignment="1" applyProtection="1">
      <alignment horizontal="center" vertical="center" wrapText="1"/>
      <protection locked="0"/>
    </xf>
    <xf numFmtId="0" fontId="1" fillId="5" borderId="3" xfId="5" applyFont="1" applyFill="1" applyBorder="1" applyAlignment="1" applyProtection="1">
      <alignment horizontal="center" vertical="center"/>
      <protection locked="0"/>
    </xf>
    <xf numFmtId="0" fontId="1" fillId="5" borderId="2" xfId="5" applyFont="1" applyFill="1" applyBorder="1" applyAlignment="1" applyProtection="1">
      <alignment horizontal="center" vertical="center"/>
      <protection locked="0"/>
    </xf>
    <xf numFmtId="0" fontId="1" fillId="5" borderId="46" xfId="5" applyFont="1" applyFill="1" applyBorder="1" applyAlignment="1" applyProtection="1">
      <alignment horizontal="center" vertical="center" wrapText="1"/>
      <protection locked="0"/>
    </xf>
    <xf numFmtId="0" fontId="1" fillId="8" borderId="8" xfId="5" applyFont="1" applyFill="1" applyBorder="1" applyAlignment="1" applyProtection="1">
      <alignment horizontal="center" vertical="center" wrapText="1"/>
      <protection locked="0"/>
    </xf>
    <xf numFmtId="0" fontId="1" fillId="8" borderId="49" xfId="5" applyFont="1" applyFill="1" applyBorder="1" applyAlignment="1" applyProtection="1">
      <alignment horizontal="center" vertical="center" wrapText="1"/>
      <protection locked="0"/>
    </xf>
    <xf numFmtId="0" fontId="1" fillId="8" borderId="3" xfId="5" applyFont="1" applyFill="1" applyBorder="1" applyAlignment="1" applyProtection="1">
      <alignment horizontal="center" vertical="center"/>
      <protection locked="0"/>
    </xf>
    <xf numFmtId="0" fontId="1" fillId="8" borderId="2" xfId="5" applyFont="1" applyFill="1" applyBorder="1" applyAlignment="1" applyProtection="1">
      <alignment horizontal="center" vertical="center"/>
      <protection locked="0"/>
    </xf>
    <xf numFmtId="0" fontId="1" fillId="8" borderId="41" xfId="5" applyFont="1" applyFill="1" applyBorder="1" applyAlignment="1" applyProtection="1">
      <alignment horizontal="center" vertical="center" wrapText="1"/>
      <protection locked="0"/>
    </xf>
    <xf numFmtId="0" fontId="1" fillId="8" borderId="42" xfId="5" applyFont="1" applyFill="1" applyBorder="1" applyAlignment="1" applyProtection="1">
      <alignment horizontal="center" vertical="center" wrapText="1"/>
      <protection locked="0"/>
    </xf>
    <xf numFmtId="0" fontId="36" fillId="0" borderId="0" xfId="0" applyFont="1" applyAlignment="1" applyProtection="1">
      <alignment horizontal="center" wrapText="1"/>
      <protection locked="0"/>
    </xf>
    <xf numFmtId="0" fontId="2" fillId="0" borderId="4" xfId="5" applyFont="1" applyBorder="1" applyAlignment="1" applyProtection="1">
      <alignment horizontal="center" vertical="center" wrapText="1"/>
      <protection locked="0"/>
    </xf>
    <xf numFmtId="0" fontId="2" fillId="0" borderId="51" xfId="5" applyFont="1" applyBorder="1" applyAlignment="1" applyProtection="1">
      <alignment horizontal="center" vertical="center" wrapText="1"/>
      <protection locked="0"/>
    </xf>
    <xf numFmtId="0" fontId="2" fillId="0" borderId="66" xfId="5" applyFont="1" applyBorder="1" applyAlignment="1" applyProtection="1">
      <alignment horizontal="center" vertical="center" wrapText="1"/>
      <protection locked="0"/>
    </xf>
    <xf numFmtId="0" fontId="1" fillId="5" borderId="17" xfId="5" applyFont="1" applyFill="1" applyBorder="1" applyAlignment="1" applyProtection="1">
      <alignment horizontal="center" vertical="center" wrapText="1"/>
      <protection locked="0"/>
    </xf>
    <xf numFmtId="0" fontId="1" fillId="5" borderId="33" xfId="5" applyFont="1" applyFill="1" applyBorder="1" applyAlignment="1" applyProtection="1">
      <alignment horizontal="center" vertical="center" wrapText="1"/>
      <protection locked="0"/>
    </xf>
    <xf numFmtId="0" fontId="39" fillId="0" borderId="0" xfId="0" applyFont="1" applyAlignment="1" applyProtection="1">
      <alignment horizontal="center"/>
      <protection locked="0"/>
    </xf>
    <xf numFmtId="0" fontId="1" fillId="0" borderId="0" xfId="5" applyFont="1" applyAlignment="1" applyProtection="1">
      <alignment horizontal="left"/>
      <protection locked="0"/>
    </xf>
    <xf numFmtId="0" fontId="1" fillId="8" borderId="17" xfId="5" applyFont="1" applyFill="1" applyBorder="1" applyAlignment="1" applyProtection="1">
      <alignment horizontal="center" vertical="center" wrapText="1"/>
      <protection locked="0"/>
    </xf>
    <xf numFmtId="0" fontId="1" fillId="8" borderId="33" xfId="5" applyFont="1" applyFill="1" applyBorder="1" applyAlignment="1" applyProtection="1">
      <alignment horizontal="center" vertical="center" wrapText="1"/>
      <protection locked="0"/>
    </xf>
    <xf numFmtId="0" fontId="1" fillId="9" borderId="17" xfId="5" applyFont="1" applyFill="1" applyBorder="1" applyAlignment="1" applyProtection="1">
      <alignment horizontal="center" vertical="center" wrapText="1"/>
      <protection locked="0"/>
    </xf>
    <xf numFmtId="0" fontId="1" fillId="9" borderId="33" xfId="5" applyFont="1" applyFill="1" applyBorder="1" applyAlignment="1" applyProtection="1">
      <alignment horizontal="center" vertical="center" wrapText="1"/>
      <protection locked="0"/>
    </xf>
    <xf numFmtId="0" fontId="1" fillId="10" borderId="49" xfId="5" applyFont="1" applyFill="1" applyBorder="1" applyAlignment="1" applyProtection="1">
      <alignment horizontal="center" vertical="center" wrapText="1"/>
      <protection locked="0"/>
    </xf>
    <xf numFmtId="0" fontId="1" fillId="10" borderId="2" xfId="5" applyFont="1" applyFill="1" applyBorder="1" applyAlignment="1" applyProtection="1">
      <alignment horizontal="center" vertical="center"/>
      <protection locked="0"/>
    </xf>
    <xf numFmtId="0" fontId="1" fillId="10" borderId="42" xfId="5" applyFont="1" applyFill="1" applyBorder="1" applyAlignment="1" applyProtection="1">
      <alignment horizontal="center" vertical="center" wrapText="1"/>
      <protection locked="0"/>
    </xf>
    <xf numFmtId="0" fontId="30" fillId="4" borderId="4" xfId="5" applyFont="1" applyFill="1" applyBorder="1" applyAlignment="1" applyProtection="1">
      <alignment horizontal="center"/>
      <protection locked="0"/>
    </xf>
    <xf numFmtId="0" fontId="30" fillId="4" borderId="51" xfId="5" applyFont="1" applyFill="1" applyBorder="1" applyAlignment="1" applyProtection="1">
      <alignment horizontal="center"/>
      <protection locked="0"/>
    </xf>
    <xf numFmtId="0" fontId="30" fillId="4" borderId="66" xfId="5" applyFont="1" applyFill="1" applyBorder="1" applyAlignment="1" applyProtection="1">
      <alignment horizontal="center"/>
      <protection locked="0"/>
    </xf>
    <xf numFmtId="0" fontId="26" fillId="4" borderId="39" xfId="5" applyFont="1" applyFill="1" applyBorder="1" applyAlignment="1" applyProtection="1">
      <alignment horizontal="center"/>
      <protection locked="0"/>
    </xf>
    <xf numFmtId="0" fontId="1" fillId="0" borderId="0" xfId="5" applyFont="1" applyAlignment="1" applyProtection="1">
      <alignment horizontal="center"/>
      <protection locked="0"/>
    </xf>
    <xf numFmtId="0" fontId="26" fillId="4" borderId="4" xfId="5" applyFont="1" applyFill="1" applyBorder="1" applyAlignment="1" applyProtection="1">
      <alignment horizontal="center"/>
      <protection locked="0"/>
    </xf>
    <xf numFmtId="0" fontId="26" fillId="4" borderId="51" xfId="5" applyFont="1" applyFill="1" applyBorder="1" applyAlignment="1" applyProtection="1">
      <alignment horizontal="center"/>
      <protection locked="0"/>
    </xf>
    <xf numFmtId="0" fontId="26" fillId="4" borderId="66" xfId="5" applyFont="1" applyFill="1" applyBorder="1" applyAlignment="1" applyProtection="1">
      <alignment horizontal="center"/>
      <protection locked="0"/>
    </xf>
    <xf numFmtId="0" fontId="1" fillId="10" borderId="17" xfId="5" applyFont="1" applyFill="1" applyBorder="1" applyAlignment="1" applyProtection="1">
      <alignment horizontal="center" vertical="center" wrapText="1"/>
      <protection locked="0"/>
    </xf>
    <xf numFmtId="0" fontId="1" fillId="10" borderId="33" xfId="5" applyFont="1" applyFill="1" applyBorder="1" applyAlignment="1" applyProtection="1">
      <alignment horizontal="center" vertical="center" wrapText="1"/>
      <protection locked="0"/>
    </xf>
    <xf numFmtId="0" fontId="40" fillId="0" borderId="0" xfId="0" applyFont="1" applyAlignment="1" applyProtection="1">
      <alignment horizontal="center" wrapText="1"/>
      <protection locked="0"/>
    </xf>
    <xf numFmtId="0" fontId="26" fillId="4" borderId="7" xfId="5" applyFont="1" applyFill="1" applyBorder="1" applyAlignment="1" applyProtection="1">
      <alignment horizontal="center"/>
      <protection locked="0"/>
    </xf>
    <xf numFmtId="0" fontId="26" fillId="4" borderId="0" xfId="5" applyFont="1" applyFill="1" applyAlignment="1" applyProtection="1">
      <alignment horizontal="center"/>
      <protection locked="0"/>
    </xf>
    <xf numFmtId="0" fontId="2" fillId="0" borderId="4" xfId="5" applyFont="1" applyBorder="1" applyAlignment="1" applyProtection="1">
      <alignment horizontal="center"/>
      <protection locked="0"/>
    </xf>
    <xf numFmtId="0" fontId="2" fillId="0" borderId="51" xfId="5" applyFont="1" applyBorder="1" applyAlignment="1" applyProtection="1">
      <alignment horizontal="center"/>
      <protection locked="0"/>
    </xf>
    <xf numFmtId="49" fontId="4" fillId="2" borderId="64" xfId="5" applyNumberFormat="1" applyFont="1" applyFill="1" applyBorder="1" applyAlignment="1" applyProtection="1">
      <alignment horizontal="center" vertical="center"/>
      <protection locked="0"/>
    </xf>
    <xf numFmtId="49" fontId="4" fillId="2" borderId="35" xfId="5" applyNumberFormat="1" applyFont="1" applyFill="1" applyBorder="1" applyAlignment="1" applyProtection="1">
      <alignment horizontal="center" vertical="center"/>
      <protection locked="0"/>
    </xf>
    <xf numFmtId="0" fontId="2" fillId="0" borderId="16" xfId="5" applyFont="1" applyBorder="1" applyAlignment="1" applyProtection="1">
      <alignment horizontal="center" vertical="center" wrapText="1"/>
      <protection locked="0"/>
    </xf>
    <xf numFmtId="0" fontId="2" fillId="0" borderId="14" xfId="5" applyFont="1" applyBorder="1" applyAlignment="1" applyProtection="1">
      <alignment horizontal="center" vertical="center" wrapText="1"/>
      <protection locked="0"/>
    </xf>
    <xf numFmtId="0" fontId="30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50" fillId="4" borderId="0" xfId="0" applyFont="1" applyFill="1" applyAlignment="1">
      <alignment horizontal="center" vertical="center"/>
    </xf>
    <xf numFmtId="0" fontId="9" fillId="4" borderId="7" xfId="0" applyFont="1" applyFill="1" applyBorder="1" applyAlignment="1" applyProtection="1">
      <alignment horizontal="center" vertical="center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17" fontId="17" fillId="0" borderId="16" xfId="0" applyNumberFormat="1" applyFont="1" applyBorder="1" applyAlignment="1" applyProtection="1">
      <alignment horizontal="center" vertical="center"/>
      <protection locked="0"/>
    </xf>
    <xf numFmtId="0" fontId="17" fillId="0" borderId="50" xfId="0" applyFont="1" applyBorder="1" applyAlignment="1" applyProtection="1">
      <alignment horizontal="center" vertical="center"/>
      <protection locked="0"/>
    </xf>
    <xf numFmtId="0" fontId="17" fillId="0" borderId="54" xfId="0" applyFont="1" applyBorder="1" applyAlignment="1" applyProtection="1">
      <alignment horizontal="center" vertical="center"/>
      <protection locked="0"/>
    </xf>
    <xf numFmtId="0" fontId="9" fillId="0" borderId="77" xfId="5" applyFont="1" applyBorder="1" applyAlignment="1">
      <alignment horizontal="center" vertical="center" wrapText="1"/>
    </xf>
    <xf numFmtId="0" fontId="9" fillId="0" borderId="76" xfId="5" applyFont="1" applyBorder="1" applyAlignment="1">
      <alignment horizontal="center" vertical="center" wrapText="1"/>
    </xf>
    <xf numFmtId="0" fontId="9" fillId="0" borderId="24" xfId="5" applyFont="1" applyBorder="1" applyAlignment="1">
      <alignment horizontal="right" vertical="center" wrapText="1"/>
    </xf>
    <xf numFmtId="0" fontId="9" fillId="0" borderId="34" xfId="5" applyFont="1" applyBorder="1" applyAlignment="1">
      <alignment horizontal="right" vertical="center" wrapText="1"/>
    </xf>
    <xf numFmtId="0" fontId="17" fillId="0" borderId="23" xfId="0" applyFont="1" applyBorder="1" applyAlignment="1" applyProtection="1">
      <alignment horizontal="center" vertical="center"/>
      <protection locked="0"/>
    </xf>
    <xf numFmtId="0" fontId="17" fillId="0" borderId="15" xfId="0" applyFont="1" applyBorder="1" applyAlignment="1" applyProtection="1">
      <alignment horizontal="center" vertical="center"/>
      <protection locked="0"/>
    </xf>
    <xf numFmtId="0" fontId="17" fillId="0" borderId="44" xfId="0" applyFont="1" applyBorder="1" applyAlignment="1" applyProtection="1">
      <alignment horizontal="center" vertical="center"/>
      <protection locked="0"/>
    </xf>
    <xf numFmtId="0" fontId="1" fillId="0" borderId="39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49" fontId="2" fillId="0" borderId="64" xfId="5" applyNumberFormat="1" applyFont="1" applyBorder="1" applyAlignment="1" applyProtection="1">
      <alignment horizontal="center" vertical="center"/>
      <protection locked="0"/>
    </xf>
    <xf numFmtId="49" fontId="2" fillId="0" borderId="35" xfId="5" applyNumberFormat="1" applyFont="1" applyBorder="1" applyAlignment="1" applyProtection="1">
      <alignment horizontal="center" vertical="center"/>
      <protection locked="0"/>
    </xf>
    <xf numFmtId="49" fontId="2" fillId="0" borderId="72" xfId="5" applyNumberFormat="1" applyFont="1" applyBorder="1" applyAlignment="1" applyProtection="1">
      <alignment horizontal="center" vertical="center"/>
      <protection locked="0"/>
    </xf>
    <xf numFmtId="0" fontId="1" fillId="0" borderId="4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61" xfId="5" applyFont="1" applyBorder="1" applyAlignment="1" applyProtection="1">
      <alignment horizontal="center" vertical="center"/>
      <protection locked="0"/>
    </xf>
    <xf numFmtId="0" fontId="1" fillId="0" borderId="39" xfId="5" applyFont="1" applyBorder="1" applyAlignment="1" applyProtection="1">
      <alignment horizontal="center" vertical="center"/>
      <protection locked="0"/>
    </xf>
    <xf numFmtId="0" fontId="2" fillId="0" borderId="4" xfId="5" applyFont="1" applyBorder="1" applyAlignment="1">
      <alignment horizontal="center" vertical="center" wrapText="1"/>
    </xf>
    <xf numFmtId="0" fontId="2" fillId="0" borderId="51" xfId="5" applyFont="1" applyBorder="1" applyAlignment="1">
      <alignment horizontal="center" vertical="center" wrapText="1"/>
    </xf>
    <xf numFmtId="0" fontId="2" fillId="0" borderId="66" xfId="5" applyFont="1" applyBorder="1" applyAlignment="1">
      <alignment horizontal="center" vertical="center" wrapText="1"/>
    </xf>
    <xf numFmtId="0" fontId="26" fillId="0" borderId="4" xfId="5" applyFont="1" applyBorder="1" applyAlignment="1">
      <alignment horizontal="center" vertical="center"/>
    </xf>
    <xf numFmtId="0" fontId="26" fillId="0" borderId="51" xfId="5" applyFont="1" applyBorder="1" applyAlignment="1">
      <alignment horizontal="center" vertical="center"/>
    </xf>
    <xf numFmtId="0" fontId="26" fillId="0" borderId="66" xfId="5" applyFont="1" applyBorder="1" applyAlignment="1">
      <alignment horizontal="center" vertical="center"/>
    </xf>
    <xf numFmtId="0" fontId="1" fillId="0" borderId="23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4" xfId="5" applyFont="1" applyBorder="1" applyAlignment="1" applyProtection="1">
      <alignment horizontal="center" vertical="center" wrapText="1"/>
      <protection locked="0"/>
    </xf>
    <xf numFmtId="0" fontId="1" fillId="0" borderId="51" xfId="5" applyFont="1" applyBorder="1" applyAlignment="1" applyProtection="1">
      <alignment horizontal="center" vertical="center" wrapText="1"/>
      <protection locked="0"/>
    </xf>
    <xf numFmtId="0" fontId="1" fillId="0" borderId="39" xfId="5" applyFont="1" applyBorder="1" applyAlignment="1" applyProtection="1">
      <alignment horizontal="center" vertical="center" wrapText="1"/>
      <protection locked="0"/>
    </xf>
    <xf numFmtId="0" fontId="1" fillId="0" borderId="58" xfId="5" applyFont="1" applyBorder="1" applyAlignment="1" applyProtection="1">
      <alignment horizontal="center" vertical="center" wrapText="1"/>
      <protection locked="0"/>
    </xf>
    <xf numFmtId="0" fontId="26" fillId="0" borderId="4" xfId="0" applyFont="1" applyBorder="1" applyAlignment="1">
      <alignment horizontal="center" vertical="center"/>
    </xf>
    <xf numFmtId="0" fontId="26" fillId="0" borderId="51" xfId="0" applyFont="1" applyBorder="1" applyAlignment="1">
      <alignment horizontal="center" vertical="center"/>
    </xf>
    <xf numFmtId="0" fontId="26" fillId="0" borderId="66" xfId="0" applyFont="1" applyBorder="1" applyAlignment="1">
      <alignment horizontal="center" vertical="center"/>
    </xf>
    <xf numFmtId="0" fontId="3" fillId="0" borderId="25" xfId="5" applyBorder="1" applyAlignment="1" applyProtection="1">
      <alignment horizontal="center" vertical="center"/>
      <protection locked="0"/>
    </xf>
    <xf numFmtId="0" fontId="3" fillId="0" borderId="34" xfId="5" applyBorder="1" applyAlignment="1" applyProtection="1">
      <alignment horizontal="center" vertical="center"/>
      <protection locked="0"/>
    </xf>
    <xf numFmtId="0" fontId="16" fillId="8" borderId="41" xfId="5" applyFont="1" applyFill="1" applyBorder="1" applyAlignment="1" applyProtection="1">
      <alignment horizontal="center" vertical="center"/>
      <protection locked="0"/>
    </xf>
    <xf numFmtId="0" fontId="16" fillId="8" borderId="43" xfId="5" applyFont="1" applyFill="1" applyBorder="1" applyAlignment="1" applyProtection="1">
      <alignment horizontal="center" vertical="center"/>
      <protection locked="0"/>
    </xf>
    <xf numFmtId="0" fontId="1" fillId="12" borderId="3" xfId="5" applyFont="1" applyFill="1" applyBorder="1" applyAlignment="1" applyProtection="1">
      <alignment horizontal="center" vertical="center"/>
      <protection locked="0"/>
    </xf>
    <xf numFmtId="0" fontId="1" fillId="12" borderId="2" xfId="5" applyFont="1" applyFill="1" applyBorder="1" applyAlignment="1" applyProtection="1">
      <alignment horizontal="center" vertical="center"/>
      <protection locked="0"/>
    </xf>
    <xf numFmtId="0" fontId="3" fillId="5" borderId="19" xfId="5" applyFill="1" applyBorder="1" applyAlignment="1" applyProtection="1">
      <alignment horizontal="center" vertical="center"/>
      <protection locked="0"/>
    </xf>
    <xf numFmtId="0" fontId="3" fillId="5" borderId="25" xfId="5" applyFill="1" applyBorder="1" applyAlignment="1" applyProtection="1">
      <alignment horizontal="center" vertical="center"/>
      <protection locked="0"/>
    </xf>
    <xf numFmtId="0" fontId="3" fillId="5" borderId="34" xfId="5" applyFill="1" applyBorder="1" applyAlignment="1" applyProtection="1">
      <alignment horizontal="center" vertical="center"/>
      <protection locked="0"/>
    </xf>
    <xf numFmtId="0" fontId="3" fillId="0" borderId="15" xfId="5" applyBorder="1" applyAlignment="1" applyProtection="1">
      <alignment horizontal="center" vertical="center"/>
      <protection locked="0"/>
    </xf>
    <xf numFmtId="0" fontId="1" fillId="3" borderId="17" xfId="5" applyFont="1" applyFill="1" applyBorder="1" applyAlignment="1" applyProtection="1">
      <alignment horizontal="center" vertical="center" wrapText="1"/>
      <protection locked="0"/>
    </xf>
    <xf numFmtId="0" fontId="1" fillId="3" borderId="38" xfId="5" applyFont="1" applyFill="1" applyBorder="1" applyAlignment="1" applyProtection="1">
      <alignment horizontal="center" vertical="center" wrapText="1"/>
      <protection locked="0"/>
    </xf>
    <xf numFmtId="0" fontId="3" fillId="4" borderId="34" xfId="5" applyFill="1" applyBorder="1" applyAlignment="1" applyProtection="1">
      <alignment horizontal="center" vertical="center"/>
      <protection locked="0"/>
    </xf>
    <xf numFmtId="0" fontId="3" fillId="0" borderId="36" xfId="5" applyBorder="1" applyAlignment="1" applyProtection="1">
      <alignment horizontal="center" vertical="center"/>
      <protection locked="0"/>
    </xf>
    <xf numFmtId="0" fontId="3" fillId="0" borderId="76" xfId="5" applyBorder="1" applyAlignment="1" applyProtection="1">
      <alignment horizontal="center" vertical="center"/>
      <protection locked="0"/>
    </xf>
    <xf numFmtId="0" fontId="1" fillId="0" borderId="4" xfId="5" applyFont="1" applyBorder="1" applyAlignment="1">
      <alignment horizontal="center" vertical="center"/>
    </xf>
    <xf numFmtId="0" fontId="1" fillId="0" borderId="51" xfId="5" applyFont="1" applyBorder="1" applyAlignment="1">
      <alignment horizontal="center" vertical="center"/>
    </xf>
    <xf numFmtId="0" fontId="1" fillId="0" borderId="66" xfId="5" applyFont="1" applyBorder="1" applyAlignment="1">
      <alignment horizontal="center" vertical="center"/>
    </xf>
    <xf numFmtId="0" fontId="1" fillId="0" borderId="3" xfId="0" applyFont="1" applyBorder="1" applyAlignment="1" applyProtection="1">
      <alignment horizontal="center" vertical="center"/>
      <protection locked="0"/>
    </xf>
    <xf numFmtId="0" fontId="16" fillId="0" borderId="23" xfId="0" applyFont="1" applyBorder="1" applyAlignment="1">
      <alignment horizontal="center"/>
    </xf>
    <xf numFmtId="0" fontId="16" fillId="0" borderId="15" xfId="0" applyFont="1" applyBorder="1" applyAlignment="1">
      <alignment horizontal="center"/>
    </xf>
    <xf numFmtId="0" fontId="1" fillId="0" borderId="40" xfId="5" applyFont="1" applyBorder="1" applyAlignment="1" applyProtection="1">
      <alignment horizontal="center" vertical="center" wrapText="1"/>
      <protection locked="0"/>
    </xf>
    <xf numFmtId="0" fontId="1" fillId="0" borderId="3" xfId="5" applyFont="1" applyBorder="1" applyAlignment="1" applyProtection="1">
      <alignment horizontal="center" vertical="center" wrapText="1"/>
      <protection locked="0"/>
    </xf>
    <xf numFmtId="0" fontId="1" fillId="0" borderId="17" xfId="5" applyFont="1" applyBorder="1" applyAlignment="1" applyProtection="1">
      <alignment horizontal="center" vertical="center" wrapText="1"/>
      <protection locked="0"/>
    </xf>
    <xf numFmtId="0" fontId="1" fillId="0" borderId="29" xfId="5" applyFont="1" applyBorder="1" applyAlignment="1" applyProtection="1">
      <alignment horizontal="center" vertical="center" wrapText="1"/>
      <protection locked="0"/>
    </xf>
    <xf numFmtId="0" fontId="1" fillId="0" borderId="21" xfId="5" applyFont="1" applyBorder="1" applyAlignment="1" applyProtection="1">
      <alignment horizontal="center" vertical="center" wrapText="1"/>
      <protection locked="0"/>
    </xf>
    <xf numFmtId="0" fontId="1" fillId="0" borderId="38" xfId="5" applyFont="1" applyBorder="1" applyAlignment="1" applyProtection="1">
      <alignment horizontal="center" vertical="center" wrapText="1"/>
      <protection locked="0"/>
    </xf>
    <xf numFmtId="0" fontId="1" fillId="5" borderId="16" xfId="0" applyFont="1" applyFill="1" applyBorder="1" applyAlignment="1" applyProtection="1">
      <alignment horizontal="center" vertical="center"/>
      <protection locked="0"/>
    </xf>
    <xf numFmtId="0" fontId="1" fillId="5" borderId="20" xfId="0" applyFont="1" applyFill="1" applyBorder="1" applyAlignment="1" applyProtection="1">
      <alignment horizontal="center" vertical="center"/>
      <protection locked="0"/>
    </xf>
    <xf numFmtId="0" fontId="1" fillId="0" borderId="6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12" borderId="40" xfId="5" applyFont="1" applyFill="1" applyBorder="1" applyAlignment="1" applyProtection="1">
      <alignment horizontal="center" vertical="center" wrapText="1"/>
      <protection locked="0"/>
    </xf>
    <xf numFmtId="0" fontId="1" fillId="12" borderId="10" xfId="5" applyFont="1" applyFill="1" applyBorder="1" applyAlignment="1" applyProtection="1">
      <alignment horizontal="center" vertical="center" wrapText="1"/>
      <protection locked="0"/>
    </xf>
    <xf numFmtId="0" fontId="1" fillId="8" borderId="40" xfId="5" applyFont="1" applyFill="1" applyBorder="1" applyAlignment="1" applyProtection="1">
      <alignment horizontal="center" vertical="center" wrapText="1"/>
      <protection locked="0"/>
    </xf>
    <xf numFmtId="0" fontId="1" fillId="8" borderId="29" xfId="5" applyFont="1" applyFill="1" applyBorder="1" applyAlignment="1" applyProtection="1">
      <alignment horizontal="center" vertical="center" wrapText="1"/>
      <protection locked="0"/>
    </xf>
    <xf numFmtId="0" fontId="1" fillId="8" borderId="21" xfId="5" applyFont="1" applyFill="1" applyBorder="1" applyAlignment="1" applyProtection="1">
      <alignment horizontal="center" vertical="center"/>
      <protection locked="0"/>
    </xf>
    <xf numFmtId="0" fontId="17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30" xfId="5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center" vertical="center"/>
    </xf>
    <xf numFmtId="0" fontId="1" fillId="0" borderId="0" xfId="5" applyFont="1" applyAlignment="1" applyProtection="1">
      <alignment horizontal="center" vertical="center"/>
      <protection locked="0"/>
    </xf>
    <xf numFmtId="0" fontId="3" fillId="4" borderId="35" xfId="5" applyFill="1" applyBorder="1" applyAlignment="1" applyProtection="1">
      <alignment horizontal="center" vertical="center"/>
      <protection locked="0"/>
    </xf>
    <xf numFmtId="0" fontId="3" fillId="4" borderId="0" xfId="5" applyFill="1" applyAlignment="1" applyProtection="1">
      <alignment horizontal="center" vertical="center"/>
      <protection locked="0"/>
    </xf>
    <xf numFmtId="0" fontId="3" fillId="0" borderId="19" xfId="5" applyBorder="1" applyAlignment="1" applyProtection="1">
      <alignment horizontal="center" vertical="center"/>
      <protection locked="0"/>
    </xf>
    <xf numFmtId="0" fontId="17" fillId="5" borderId="15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 wrapText="1"/>
      <protection locked="0"/>
    </xf>
    <xf numFmtId="0" fontId="1" fillId="0" borderId="23" xfId="5" applyFont="1" applyBorder="1" applyAlignment="1" applyProtection="1">
      <alignment horizontal="center" vertical="center" wrapText="1"/>
      <protection locked="0"/>
    </xf>
    <xf numFmtId="0" fontId="1" fillId="0" borderId="15" xfId="5" applyFont="1" applyBorder="1" applyAlignment="1" applyProtection="1">
      <alignment horizontal="center" vertical="center" wrapText="1"/>
      <protection locked="0"/>
    </xf>
    <xf numFmtId="0" fontId="21" fillId="0" borderId="0" xfId="0" applyFont="1" applyAlignment="1" applyProtection="1">
      <alignment horizontal="center" vertical="center" wrapText="1"/>
      <protection locked="0"/>
    </xf>
    <xf numFmtId="0" fontId="1" fillId="0" borderId="40" xfId="5" applyFont="1" applyBorder="1" applyAlignment="1" applyProtection="1">
      <alignment horizontal="center" vertical="center"/>
      <protection locked="0"/>
    </xf>
    <xf numFmtId="0" fontId="1" fillId="0" borderId="17" xfId="5" applyFont="1" applyBorder="1" applyAlignment="1" applyProtection="1">
      <alignment horizontal="center" vertical="center"/>
      <protection locked="0"/>
    </xf>
    <xf numFmtId="0" fontId="1" fillId="0" borderId="29" xfId="5" applyFont="1" applyBorder="1" applyAlignment="1" applyProtection="1">
      <alignment horizontal="center" vertical="center"/>
      <protection locked="0"/>
    </xf>
    <xf numFmtId="0" fontId="1" fillId="0" borderId="38" xfId="5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16" xfId="5" applyFont="1" applyBorder="1" applyAlignment="1" applyProtection="1">
      <alignment horizontal="center" vertical="center" wrapText="1"/>
      <protection locked="0"/>
    </xf>
    <xf numFmtId="0" fontId="1" fillId="0" borderId="20" xfId="5" applyFont="1" applyBorder="1" applyAlignment="1" applyProtection="1">
      <alignment horizontal="center" vertical="center" wrapText="1"/>
      <protection locked="0"/>
    </xf>
    <xf numFmtId="0" fontId="1" fillId="0" borderId="73" xfId="5" applyFont="1" applyBorder="1" applyAlignment="1">
      <alignment horizontal="center" vertical="center"/>
    </xf>
    <xf numFmtId="0" fontId="1" fillId="5" borderId="3" xfId="5" applyFont="1" applyFill="1" applyBorder="1" applyAlignment="1" applyProtection="1">
      <alignment horizontal="center" vertical="center" wrapText="1"/>
      <protection locked="0"/>
    </xf>
    <xf numFmtId="0" fontId="1" fillId="5" borderId="2" xfId="5" applyFont="1" applyFill="1" applyBorder="1" applyAlignment="1" applyProtection="1">
      <alignment horizontal="center" vertical="center" wrapText="1"/>
      <protection locked="0"/>
    </xf>
    <xf numFmtId="0" fontId="3" fillId="0" borderId="61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1" fillId="0" borderId="16" xfId="5" applyFont="1" applyBorder="1" applyAlignment="1" applyProtection="1">
      <alignment horizontal="center" vertical="center"/>
      <protection locked="0"/>
    </xf>
    <xf numFmtId="0" fontId="1" fillId="0" borderId="20" xfId="5" applyFont="1" applyBorder="1" applyAlignment="1" applyProtection="1">
      <alignment horizontal="center" vertical="center"/>
      <protection locked="0"/>
    </xf>
    <xf numFmtId="0" fontId="1" fillId="3" borderId="29" xfId="5" applyFont="1" applyFill="1" applyBorder="1" applyAlignment="1" applyProtection="1">
      <alignment horizontal="center" vertical="center" wrapText="1"/>
      <protection locked="0"/>
    </xf>
    <xf numFmtId="0" fontId="3" fillId="0" borderId="47" xfId="5" applyBorder="1" applyAlignment="1" applyProtection="1">
      <alignment horizontal="center" vertical="center"/>
      <protection locked="0"/>
    </xf>
    <xf numFmtId="0" fontId="1" fillId="5" borderId="21" xfId="5" applyFont="1" applyFill="1" applyBorder="1" applyAlignment="1" applyProtection="1">
      <alignment horizontal="center" vertical="center"/>
      <protection locked="0"/>
    </xf>
    <xf numFmtId="14" fontId="9" fillId="4" borderId="21" xfId="0" applyNumberFormat="1" applyFont="1" applyFill="1" applyBorder="1" applyAlignment="1">
      <alignment horizontal="center" vertical="center"/>
    </xf>
    <xf numFmtId="14" fontId="9" fillId="4" borderId="19" xfId="0" applyNumberFormat="1" applyFont="1" applyFill="1" applyBorder="1" applyAlignment="1">
      <alignment horizontal="center" vertical="center"/>
    </xf>
    <xf numFmtId="0" fontId="58" fillId="4" borderId="43" xfId="0" applyFont="1" applyFill="1" applyBorder="1" applyAlignment="1">
      <alignment horizontal="center" vertical="center"/>
    </xf>
    <xf numFmtId="0" fontId="58" fillId="4" borderId="46" xfId="0" applyFont="1" applyFill="1" applyBorder="1" applyAlignment="1">
      <alignment horizontal="center" vertical="center"/>
    </xf>
    <xf numFmtId="14" fontId="9" fillId="22" borderId="21" xfId="0" applyNumberFormat="1" applyFont="1" applyFill="1" applyBorder="1" applyAlignment="1">
      <alignment horizontal="center" vertical="center"/>
    </xf>
    <xf numFmtId="14" fontId="9" fillId="22" borderId="19" xfId="0" applyNumberFormat="1" applyFont="1" applyFill="1" applyBorder="1" applyAlignment="1">
      <alignment horizontal="center" vertical="center"/>
    </xf>
    <xf numFmtId="0" fontId="58" fillId="12" borderId="43" xfId="0" applyFont="1" applyFill="1" applyBorder="1" applyAlignment="1">
      <alignment horizontal="center" vertical="center"/>
    </xf>
    <xf numFmtId="0" fontId="58" fillId="12" borderId="46" xfId="0" applyFont="1" applyFill="1" applyBorder="1" applyAlignment="1">
      <alignment horizontal="center" vertical="center"/>
    </xf>
    <xf numFmtId="0" fontId="58" fillId="12" borderId="52" xfId="0" applyFont="1" applyFill="1" applyBorder="1" applyAlignment="1">
      <alignment horizontal="center" vertical="center"/>
    </xf>
    <xf numFmtId="0" fontId="50" fillId="19" borderId="12" xfId="0" applyFont="1" applyFill="1" applyBorder="1" applyAlignment="1">
      <alignment horizontal="center" vertical="center"/>
    </xf>
    <xf numFmtId="0" fontId="50" fillId="19" borderId="77" xfId="0" applyFont="1" applyFill="1" applyBorder="1" applyAlignment="1">
      <alignment horizontal="center" vertical="center"/>
    </xf>
    <xf numFmtId="0" fontId="50" fillId="19" borderId="57" xfId="0" applyFont="1" applyFill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14" fontId="1" fillId="0" borderId="72" xfId="0" applyNumberFormat="1" applyFont="1" applyBorder="1" applyAlignment="1">
      <alignment horizontal="center" vertical="center"/>
    </xf>
    <xf numFmtId="14" fontId="1" fillId="0" borderId="58" xfId="0" applyNumberFormat="1" applyFont="1" applyBorder="1" applyAlignment="1">
      <alignment horizontal="center" vertical="center"/>
    </xf>
    <xf numFmtId="14" fontId="9" fillId="0" borderId="5" xfId="0" applyNumberFormat="1" applyFont="1" applyBorder="1" applyAlignment="1">
      <alignment horizontal="center" vertical="center"/>
    </xf>
    <xf numFmtId="14" fontId="9" fillId="0" borderId="30" xfId="0" applyNumberFormat="1" applyFont="1" applyBorder="1" applyAlignment="1">
      <alignment horizontal="center" vertical="center"/>
    </xf>
    <xf numFmtId="0" fontId="27" fillId="0" borderId="26" xfId="0" applyFont="1" applyBorder="1" applyAlignment="1">
      <alignment horizontal="left" vertical="center"/>
    </xf>
    <xf numFmtId="0" fontId="27" fillId="0" borderId="0" xfId="0" applyFont="1" applyAlignment="1">
      <alignment horizontal="left" vertical="center"/>
    </xf>
    <xf numFmtId="0" fontId="1" fillId="0" borderId="48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48" xfId="0" applyNumberFormat="1" applyFont="1" applyBorder="1" applyAlignment="1">
      <alignment horizontal="center" vertical="center"/>
    </xf>
    <xf numFmtId="14" fontId="1" fillId="0" borderId="52" xfId="0" applyNumberFormat="1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4" fillId="4" borderId="26" xfId="0" applyFont="1" applyFill="1" applyBorder="1" applyAlignment="1">
      <alignment horizontal="center"/>
    </xf>
    <xf numFmtId="0" fontId="55" fillId="4" borderId="26" xfId="0" applyFont="1" applyFill="1" applyBorder="1" applyAlignment="1">
      <alignment horizontal="center"/>
    </xf>
    <xf numFmtId="0" fontId="50" fillId="19" borderId="4" xfId="0" applyFont="1" applyFill="1" applyBorder="1" applyAlignment="1">
      <alignment horizontal="center" vertical="center"/>
    </xf>
    <xf numFmtId="0" fontId="50" fillId="19" borderId="51" xfId="0" applyFont="1" applyFill="1" applyBorder="1" applyAlignment="1">
      <alignment horizontal="center" vertical="center"/>
    </xf>
    <xf numFmtId="0" fontId="50" fillId="19" borderId="66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1" xfId="0" applyFont="1" applyFill="1" applyBorder="1" applyAlignment="1">
      <alignment horizontal="center" vertical="center"/>
    </xf>
    <xf numFmtId="0" fontId="9" fillId="5" borderId="66" xfId="0" applyFont="1" applyFill="1" applyBorder="1" applyAlignment="1">
      <alignment horizontal="center" vertical="center"/>
    </xf>
    <xf numFmtId="14" fontId="9" fillId="0" borderId="32" xfId="0" applyNumberFormat="1" applyFont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0" fontId="1" fillId="0" borderId="14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1" fillId="0" borderId="61" xfId="0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0" borderId="64" xfId="0" applyFont="1" applyBorder="1" applyAlignment="1">
      <alignment horizontal="center" vertical="center"/>
    </xf>
    <xf numFmtId="0" fontId="1" fillId="0" borderId="72" xfId="0" applyFont="1" applyBorder="1" applyAlignment="1">
      <alignment horizontal="center" vertical="center"/>
    </xf>
    <xf numFmtId="0" fontId="1" fillId="0" borderId="74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 vertical="center"/>
    </xf>
    <xf numFmtId="0" fontId="16" fillId="6" borderId="20" xfId="0" applyFont="1" applyFill="1" applyBorder="1" applyAlignment="1">
      <alignment horizontal="center" vertical="center"/>
    </xf>
    <xf numFmtId="0" fontId="16" fillId="6" borderId="22" xfId="0" applyFont="1" applyFill="1" applyBorder="1" applyAlignment="1">
      <alignment horizontal="center" vertical="center"/>
    </xf>
    <xf numFmtId="0" fontId="16" fillId="6" borderId="60" xfId="0" applyFont="1" applyFill="1" applyBorder="1" applyAlignment="1">
      <alignment horizontal="center" vertical="center"/>
    </xf>
    <xf numFmtId="0" fontId="16" fillId="6" borderId="12" xfId="0" applyFont="1" applyFill="1" applyBorder="1" applyAlignment="1">
      <alignment horizontal="center" vertical="center"/>
    </xf>
    <xf numFmtId="0" fontId="16" fillId="6" borderId="77" xfId="0" applyFont="1" applyFill="1" applyBorder="1" applyAlignment="1">
      <alignment horizontal="center" vertical="center"/>
    </xf>
    <xf numFmtId="0" fontId="16" fillId="6" borderId="57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1" fillId="0" borderId="0" xfId="0" applyFont="1" applyAlignment="1">
      <alignment horizontal="left"/>
    </xf>
    <xf numFmtId="0" fontId="0" fillId="6" borderId="69" xfId="0" applyFill="1" applyBorder="1" applyAlignment="1">
      <alignment horizontal="center"/>
    </xf>
    <xf numFmtId="0" fontId="0" fillId="6" borderId="65" xfId="0" applyFill="1" applyBorder="1" applyAlignment="1">
      <alignment horizontal="center"/>
    </xf>
    <xf numFmtId="0" fontId="0" fillId="6" borderId="71" xfId="0" applyFill="1" applyBorder="1" applyAlignment="1">
      <alignment horizontal="center"/>
    </xf>
  </cellXfs>
  <cellStyles count="16">
    <cellStyle name="Normal" xfId="0" builtinId="0"/>
    <cellStyle name="Normal 2" xfId="1" xr:uid="{00000000-0005-0000-0000-000001000000}"/>
    <cellStyle name="Normal 2 2" xfId="2" xr:uid="{00000000-0005-0000-0000-000002000000}"/>
    <cellStyle name="Normal 2 2 2" xfId="3" xr:uid="{00000000-0005-0000-0000-000003000000}"/>
    <cellStyle name="Normal 2 3" xfId="4" xr:uid="{00000000-0005-0000-0000-000004000000}"/>
    <cellStyle name="Normal 2_ESPECIAL MENSA" xfId="5" xr:uid="{00000000-0005-0000-0000-000005000000}"/>
    <cellStyle name="Normal 3" xfId="6" xr:uid="{00000000-0005-0000-0000-000006000000}"/>
    <cellStyle name="Normal 3 2" xfId="7" xr:uid="{00000000-0005-0000-0000-000007000000}"/>
    <cellStyle name="Normal 3 3" xfId="8" xr:uid="{00000000-0005-0000-0000-000008000000}"/>
    <cellStyle name="Normal 4" xfId="9" xr:uid="{00000000-0005-0000-0000-000009000000}"/>
    <cellStyle name="Normal 4 2" xfId="10" xr:uid="{00000000-0005-0000-0000-00000A000000}"/>
    <cellStyle name="Normal 4 3" xfId="11" xr:uid="{00000000-0005-0000-0000-00000B000000}"/>
    <cellStyle name="Normal 5" xfId="12" xr:uid="{00000000-0005-0000-0000-00000C000000}"/>
    <cellStyle name="Normal 6" xfId="13" xr:uid="{00000000-0005-0000-0000-00000D000000}"/>
    <cellStyle name="Normal 7" xfId="14" xr:uid="{00000000-0005-0000-0000-00000E000000}"/>
    <cellStyle name="Total 2" xfId="15" xr:uid="{00000000-0005-0000-0000-00000F000000}"/>
  </cellStyles>
  <dxfs count="44"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9966FF"/>
        </patternFill>
      </fill>
    </dxf>
    <dxf>
      <fill>
        <patternFill>
          <bgColor rgb="FF9966FF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9933FF"/>
        </patternFill>
      </fill>
    </dxf>
    <dxf>
      <fill>
        <patternFill>
          <bgColor rgb="FF9966FF"/>
        </patternFill>
      </fill>
    </dxf>
    <dxf>
      <fill>
        <patternFill>
          <bgColor rgb="FFA66BD3"/>
        </patternFill>
      </fill>
    </dxf>
    <dxf>
      <fill>
        <patternFill>
          <bgColor rgb="FF9966FF"/>
        </patternFill>
      </fill>
    </dxf>
    <dxf>
      <fill>
        <patternFill>
          <bgColor rgb="FF9933FF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9966FF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</dxfs>
  <tableStyles count="0" defaultTableStyle="TableStyleMedium9" defaultPivotStyle="PivotStyleLight16"/>
  <colors>
    <mruColors>
      <color rgb="FF9966FF"/>
      <color rgb="FF9933FF"/>
      <color rgb="FFA66BD3"/>
      <color rgb="FF703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345281</xdr:colOff>
      <xdr:row>0</xdr:row>
      <xdr:rowOff>142875</xdr:rowOff>
    </xdr:from>
    <xdr:to>
      <xdr:col>36</xdr:col>
      <xdr:colOff>2226469</xdr:colOff>
      <xdr:row>1</xdr:row>
      <xdr:rowOff>190500</xdr:rowOff>
    </xdr:to>
    <xdr:sp macro="[0]!Classificar" textlink="">
      <xdr:nvSpPr>
        <xdr:cNvPr id="2" name="Retângulo 1">
          <a:extLst>
            <a:ext uri="{FF2B5EF4-FFF2-40B4-BE49-F238E27FC236}">
              <a16:creationId xmlns:a16="http://schemas.microsoft.com/office/drawing/2014/main" id="{A26209F9-4274-AC86-FD48-C7D412062739}"/>
            </a:ext>
          </a:extLst>
        </xdr:cNvPr>
        <xdr:cNvSpPr/>
      </xdr:nvSpPr>
      <xdr:spPr>
        <a:xfrm>
          <a:off x="15394781" y="142875"/>
          <a:ext cx="1881188" cy="30956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CLASSIFICAR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AY93"/>
  <sheetViews>
    <sheetView zoomScaleNormal="100" workbookViewId="0">
      <pane xSplit="1" topLeftCell="B1" activePane="topRight" state="frozen"/>
      <selection activeCell="AD45" sqref="AD45"/>
      <selection pane="topRight" activeCell="AK79" sqref="AK79"/>
    </sheetView>
  </sheetViews>
  <sheetFormatPr defaultRowHeight="12.75" x14ac:dyDescent="0.2"/>
  <cols>
    <col min="1" max="1" width="22.85546875" style="1" customWidth="1"/>
    <col min="2" max="2" width="15" style="1" customWidth="1"/>
    <col min="3" max="3" width="15.140625" style="1" customWidth="1"/>
    <col min="4" max="11" width="4.7109375" style="1" customWidth="1"/>
    <col min="12" max="12" width="5.28515625" style="1" customWidth="1"/>
    <col min="13" max="15" width="4.7109375" style="1" customWidth="1"/>
    <col min="16" max="16" width="5.140625" style="1" customWidth="1"/>
    <col min="17" max="32" width="4.7109375" style="1" customWidth="1"/>
    <col min="33" max="33" width="5" style="1" hidden="1" customWidth="1"/>
    <col min="34" max="34" width="4.7109375" style="1" customWidth="1"/>
    <col min="35" max="35" width="9.140625" style="1"/>
    <col min="36" max="36" width="9.140625" style="1" customWidth="1"/>
    <col min="37" max="37" width="22.140625" style="1" customWidth="1"/>
    <col min="38" max="16384" width="9.140625" style="1"/>
  </cols>
  <sheetData>
    <row r="1" spans="1:37" ht="13.5" thickBot="1" x14ac:dyDescent="0.25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</row>
    <row r="2" spans="1:37" ht="36.75" thickBot="1" x14ac:dyDescent="0.25">
      <c r="A2" s="83" t="s">
        <v>0</v>
      </c>
      <c r="B2" s="83"/>
      <c r="C2" s="1074" t="s">
        <v>104</v>
      </c>
      <c r="D2" s="1075"/>
      <c r="E2" s="1075"/>
      <c r="F2" s="1075"/>
      <c r="G2" s="1075"/>
      <c r="H2" s="1075"/>
      <c r="I2" s="1075"/>
      <c r="J2" s="1075"/>
      <c r="K2" s="1075"/>
      <c r="L2" s="1075"/>
      <c r="M2" s="1075"/>
      <c r="N2" s="1075"/>
      <c r="O2" s="1075"/>
      <c r="P2" s="1075"/>
      <c r="Q2" s="1075"/>
      <c r="R2" s="1075"/>
      <c r="S2" s="1075"/>
      <c r="T2" s="1075"/>
      <c r="U2" s="1075"/>
      <c r="V2" s="1075"/>
      <c r="W2" s="1075"/>
      <c r="X2" s="1075"/>
      <c r="Y2" s="1075"/>
      <c r="Z2" s="1075"/>
      <c r="AA2" s="1075"/>
      <c r="AB2" s="1075"/>
      <c r="AC2" s="1075"/>
      <c r="AD2" s="1075"/>
      <c r="AE2" s="1075"/>
      <c r="AF2" s="1075"/>
      <c r="AG2" s="1075"/>
      <c r="AH2" s="1076"/>
      <c r="AK2" s="97"/>
    </row>
    <row r="3" spans="1:37" ht="15.75" customHeight="1" x14ac:dyDescent="0.2">
      <c r="A3" s="1111" t="s">
        <v>39</v>
      </c>
      <c r="B3" s="1113" t="s">
        <v>34</v>
      </c>
      <c r="C3" s="1115" t="s">
        <v>17</v>
      </c>
      <c r="D3" s="191" t="s">
        <v>3</v>
      </c>
      <c r="E3" s="125" t="s">
        <v>4</v>
      </c>
      <c r="F3" s="125" t="s">
        <v>4</v>
      </c>
      <c r="G3" s="125" t="s">
        <v>2</v>
      </c>
      <c r="H3" s="192" t="s">
        <v>2</v>
      </c>
      <c r="I3" s="84" t="s">
        <v>1</v>
      </c>
      <c r="J3" s="125" t="s">
        <v>2</v>
      </c>
      <c r="K3" s="125" t="s">
        <v>3</v>
      </c>
      <c r="L3" s="125" t="s">
        <v>4</v>
      </c>
      <c r="M3" s="125" t="s">
        <v>4</v>
      </c>
      <c r="N3" s="125" t="s">
        <v>2</v>
      </c>
      <c r="O3" s="192" t="s">
        <v>2</v>
      </c>
      <c r="P3" s="84" t="s">
        <v>1</v>
      </c>
      <c r="Q3" s="125" t="s">
        <v>2</v>
      </c>
      <c r="R3" s="125" t="s">
        <v>3</v>
      </c>
      <c r="S3" s="125" t="s">
        <v>4</v>
      </c>
      <c r="T3" s="125" t="s">
        <v>4</v>
      </c>
      <c r="U3" s="125" t="s">
        <v>2</v>
      </c>
      <c r="V3" s="192" t="s">
        <v>2</v>
      </c>
      <c r="W3" s="84" t="s">
        <v>1</v>
      </c>
      <c r="X3" s="125" t="s">
        <v>2</v>
      </c>
      <c r="Y3" s="125" t="s">
        <v>3</v>
      </c>
      <c r="Z3" s="125" t="s">
        <v>4</v>
      </c>
      <c r="AA3" s="125" t="s">
        <v>4</v>
      </c>
      <c r="AB3" s="125" t="s">
        <v>2</v>
      </c>
      <c r="AC3" s="192" t="s">
        <v>2</v>
      </c>
      <c r="AD3" s="84" t="s">
        <v>1</v>
      </c>
      <c r="AE3" s="125" t="s">
        <v>2</v>
      </c>
      <c r="AF3" s="193" t="s">
        <v>3</v>
      </c>
      <c r="AG3" s="194" t="s">
        <v>2</v>
      </c>
      <c r="AH3" s="195" t="s">
        <v>4</v>
      </c>
      <c r="AJ3" s="96"/>
    </row>
    <row r="4" spans="1:37" ht="20.25" customHeight="1" thickBot="1" x14ac:dyDescent="0.25">
      <c r="A4" s="1112"/>
      <c r="B4" s="1114"/>
      <c r="C4" s="1082"/>
      <c r="D4" s="196">
        <v>1</v>
      </c>
      <c r="E4" s="126">
        <v>2</v>
      </c>
      <c r="F4" s="126">
        <v>3</v>
      </c>
      <c r="G4" s="126">
        <v>4</v>
      </c>
      <c r="H4" s="126">
        <v>5</v>
      </c>
      <c r="I4" s="126">
        <v>6</v>
      </c>
      <c r="J4" s="126">
        <v>7</v>
      </c>
      <c r="K4" s="126">
        <v>8</v>
      </c>
      <c r="L4" s="126">
        <v>9</v>
      </c>
      <c r="M4" s="126">
        <v>10</v>
      </c>
      <c r="N4" s="126">
        <v>11</v>
      </c>
      <c r="O4" s="126">
        <v>12</v>
      </c>
      <c r="P4" s="126">
        <v>13</v>
      </c>
      <c r="Q4" s="126">
        <v>14</v>
      </c>
      <c r="R4" s="126">
        <v>15</v>
      </c>
      <c r="S4" s="126">
        <v>16</v>
      </c>
      <c r="T4" s="126">
        <v>17</v>
      </c>
      <c r="U4" s="126">
        <v>18</v>
      </c>
      <c r="V4" s="126">
        <v>19</v>
      </c>
      <c r="W4" s="126">
        <v>20</v>
      </c>
      <c r="X4" s="126">
        <v>21</v>
      </c>
      <c r="Y4" s="126">
        <v>22</v>
      </c>
      <c r="Z4" s="126">
        <v>23</v>
      </c>
      <c r="AA4" s="126">
        <v>24</v>
      </c>
      <c r="AB4" s="126">
        <v>25</v>
      </c>
      <c r="AC4" s="126">
        <v>26</v>
      </c>
      <c r="AD4" s="126">
        <v>27</v>
      </c>
      <c r="AE4" s="126">
        <v>28</v>
      </c>
      <c r="AF4" s="126">
        <v>29</v>
      </c>
      <c r="AG4" s="135"/>
      <c r="AH4" s="197">
        <v>30</v>
      </c>
      <c r="AJ4" s="96"/>
    </row>
    <row r="5" spans="1:37" ht="20.25" customHeight="1" x14ac:dyDescent="0.2">
      <c r="A5" s="262" t="s">
        <v>68</v>
      </c>
      <c r="B5" s="263"/>
      <c r="C5" s="264"/>
      <c r="D5" s="210"/>
      <c r="E5" s="265"/>
      <c r="F5" s="266"/>
      <c r="G5" s="265"/>
      <c r="H5" s="265"/>
      <c r="I5" s="265"/>
      <c r="J5" s="266"/>
      <c r="K5" s="265"/>
      <c r="L5" s="265"/>
      <c r="M5" s="265"/>
      <c r="N5" s="266"/>
      <c r="O5" s="265"/>
      <c r="P5" s="265"/>
      <c r="Q5" s="265"/>
      <c r="R5" s="266"/>
      <c r="S5" s="265"/>
      <c r="T5" s="265"/>
      <c r="U5" s="265"/>
      <c r="V5" s="267"/>
      <c r="W5" s="265"/>
      <c r="X5" s="268"/>
      <c r="Y5" s="265"/>
      <c r="Z5" s="267"/>
      <c r="AA5" s="265"/>
      <c r="AB5" s="268"/>
      <c r="AC5" s="265"/>
      <c r="AD5" s="267"/>
      <c r="AE5" s="265"/>
      <c r="AF5" s="268"/>
      <c r="AG5" s="268"/>
      <c r="AH5" s="269"/>
      <c r="AJ5" s="96"/>
    </row>
    <row r="6" spans="1:37" ht="20.25" customHeight="1" x14ac:dyDescent="0.2">
      <c r="A6" s="88" t="s">
        <v>83</v>
      </c>
      <c r="B6" s="270"/>
      <c r="C6" s="271"/>
      <c r="D6" s="198"/>
      <c r="E6" s="199"/>
      <c r="F6" s="140"/>
      <c r="G6" s="199"/>
      <c r="H6" s="199"/>
      <c r="I6" s="199"/>
      <c r="J6" s="140"/>
      <c r="K6" s="199"/>
      <c r="L6" s="199"/>
      <c r="M6" s="199"/>
      <c r="N6" s="140"/>
      <c r="O6" s="199"/>
      <c r="P6" s="239"/>
      <c r="Q6" s="239"/>
      <c r="R6" s="272"/>
      <c r="S6" s="239"/>
      <c r="T6" s="239"/>
      <c r="U6" s="239"/>
      <c r="V6" s="273"/>
      <c r="W6" s="239"/>
      <c r="X6" s="240"/>
      <c r="Y6" s="239"/>
      <c r="Z6" s="273"/>
      <c r="AA6" s="239"/>
      <c r="AB6" s="240"/>
      <c r="AC6" s="239"/>
      <c r="AD6" s="273"/>
      <c r="AE6" s="239"/>
      <c r="AF6" s="240"/>
      <c r="AG6" s="202"/>
      <c r="AH6" s="274"/>
      <c r="AJ6" s="96"/>
    </row>
    <row r="7" spans="1:37" ht="20.25" customHeight="1" x14ac:dyDescent="0.2">
      <c r="A7" s="88" t="s">
        <v>77</v>
      </c>
      <c r="B7" s="270"/>
      <c r="C7" s="271"/>
      <c r="D7" s="198"/>
      <c r="E7" s="199"/>
      <c r="F7" s="140"/>
      <c r="G7" s="199"/>
      <c r="H7" s="199"/>
      <c r="I7" s="199"/>
      <c r="J7" s="140"/>
      <c r="K7" s="199"/>
      <c r="L7" s="199"/>
      <c r="M7" s="199"/>
      <c r="N7" s="140"/>
      <c r="O7" s="199"/>
      <c r="P7" s="239"/>
      <c r="Q7" s="239"/>
      <c r="R7" s="272"/>
      <c r="S7" s="239"/>
      <c r="T7" s="239"/>
      <c r="U7" s="239"/>
      <c r="V7" s="273"/>
      <c r="W7" s="239"/>
      <c r="X7" s="240"/>
      <c r="Y7" s="239"/>
      <c r="Z7" s="273"/>
      <c r="AA7" s="239"/>
      <c r="AB7" s="240"/>
      <c r="AC7" s="239"/>
      <c r="AD7" s="273"/>
      <c r="AE7" s="239"/>
      <c r="AF7" s="240"/>
      <c r="AG7" s="202"/>
      <c r="AH7" s="275"/>
      <c r="AJ7" s="96"/>
    </row>
    <row r="8" spans="1:37" ht="16.5" customHeight="1" x14ac:dyDescent="0.25">
      <c r="A8" s="86" t="s">
        <v>46</v>
      </c>
      <c r="B8" s="276"/>
      <c r="C8" s="234"/>
      <c r="D8" s="68"/>
      <c r="E8" s="203"/>
      <c r="F8" s="146"/>
      <c r="G8" s="203"/>
      <c r="H8" s="203"/>
      <c r="I8" s="203"/>
      <c r="J8" s="146"/>
      <c r="K8" s="203"/>
      <c r="L8" s="203"/>
      <c r="M8" s="203"/>
      <c r="N8" s="146"/>
      <c r="O8" s="203"/>
      <c r="P8" s="203"/>
      <c r="Q8" s="203"/>
      <c r="R8" s="277"/>
      <c r="S8" s="216"/>
      <c r="T8" s="216"/>
      <c r="U8" s="216"/>
      <c r="V8" s="142"/>
      <c r="W8" s="216"/>
      <c r="X8" s="216"/>
      <c r="Y8" s="216"/>
      <c r="Z8" s="142"/>
      <c r="AA8" s="216"/>
      <c r="AB8" s="216"/>
      <c r="AC8" s="216"/>
      <c r="AD8" s="142"/>
      <c r="AE8" s="216"/>
      <c r="AF8" s="216"/>
      <c r="AG8" s="216"/>
      <c r="AH8" s="278"/>
      <c r="AJ8" s="96"/>
    </row>
    <row r="9" spans="1:37" ht="16.5" customHeight="1" x14ac:dyDescent="0.25">
      <c r="A9" s="87" t="s">
        <v>12</v>
      </c>
      <c r="B9" s="276"/>
      <c r="C9" s="65"/>
      <c r="D9" s="204"/>
      <c r="E9" s="205"/>
      <c r="F9" s="279"/>
      <c r="G9" s="206"/>
      <c r="H9" s="206"/>
      <c r="I9" s="205"/>
      <c r="J9" s="279"/>
      <c r="K9" s="206"/>
      <c r="L9" s="206"/>
      <c r="M9" s="69"/>
      <c r="N9" s="141"/>
      <c r="O9" s="207"/>
      <c r="P9" s="207"/>
      <c r="Q9" s="69"/>
      <c r="R9" s="280"/>
      <c r="S9" s="209"/>
      <c r="T9" s="254"/>
      <c r="U9" s="211"/>
      <c r="V9" s="155"/>
      <c r="W9" s="213"/>
      <c r="X9" s="212"/>
      <c r="Y9" s="211"/>
      <c r="Z9" s="155"/>
      <c r="AA9" s="213"/>
      <c r="AB9" s="212"/>
      <c r="AC9" s="211"/>
      <c r="AD9" s="155"/>
      <c r="AE9" s="213"/>
      <c r="AF9" s="212"/>
      <c r="AG9" s="212"/>
      <c r="AH9" s="281"/>
      <c r="AJ9" s="96"/>
    </row>
    <row r="10" spans="1:37" ht="16.5" customHeight="1" x14ac:dyDescent="0.25">
      <c r="A10" s="87" t="s">
        <v>50</v>
      </c>
      <c r="B10" s="276"/>
      <c r="C10" s="65"/>
      <c r="D10" s="222"/>
      <c r="E10" s="222"/>
      <c r="F10" s="143"/>
      <c r="G10" s="222"/>
      <c r="H10" s="222"/>
      <c r="I10" s="222"/>
      <c r="J10" s="143"/>
      <c r="K10" s="222"/>
      <c r="L10" s="222"/>
      <c r="M10" s="214"/>
      <c r="N10" s="141"/>
      <c r="O10" s="207"/>
      <c r="P10" s="207"/>
      <c r="Q10" s="69"/>
      <c r="R10" s="280"/>
      <c r="S10" s="207"/>
      <c r="T10" s="208"/>
      <c r="U10" s="69"/>
      <c r="V10" s="142"/>
      <c r="W10" s="217"/>
      <c r="X10" s="216"/>
      <c r="Y10" s="69"/>
      <c r="Z10" s="142"/>
      <c r="AA10" s="217"/>
      <c r="AB10" s="216"/>
      <c r="AC10" s="69"/>
      <c r="AD10" s="142"/>
      <c r="AE10" s="217"/>
      <c r="AF10" s="216"/>
      <c r="AG10" s="216"/>
      <c r="AH10" s="282"/>
      <c r="AJ10" s="96"/>
    </row>
    <row r="11" spans="1:37" ht="16.5" customHeight="1" x14ac:dyDescent="0.25">
      <c r="A11" s="86" t="s">
        <v>55</v>
      </c>
      <c r="B11" s="276"/>
      <c r="C11" s="65"/>
      <c r="D11" s="218"/>
      <c r="E11" s="219"/>
      <c r="F11" s="148"/>
      <c r="G11" s="219"/>
      <c r="H11" s="220"/>
      <c r="I11" s="219"/>
      <c r="J11" s="165"/>
      <c r="K11" s="219"/>
      <c r="L11" s="219"/>
      <c r="M11" s="222"/>
      <c r="N11" s="143"/>
      <c r="O11" s="222"/>
      <c r="P11" s="222"/>
      <c r="Q11" s="222"/>
      <c r="R11" s="283"/>
      <c r="S11" s="222"/>
      <c r="T11" s="215"/>
      <c r="U11" s="222"/>
      <c r="V11" s="142"/>
      <c r="W11" s="217"/>
      <c r="X11" s="216"/>
      <c r="Y11" s="222"/>
      <c r="Z11" s="142"/>
      <c r="AA11" s="217"/>
      <c r="AB11" s="216"/>
      <c r="AC11" s="222"/>
      <c r="AD11" s="142"/>
      <c r="AE11" s="217"/>
      <c r="AF11" s="216"/>
      <c r="AG11" s="216"/>
      <c r="AH11" s="284"/>
      <c r="AJ11" s="96"/>
    </row>
    <row r="12" spans="1:37" ht="16.5" customHeight="1" x14ac:dyDescent="0.25">
      <c r="A12" s="88" t="s">
        <v>63</v>
      </c>
      <c r="B12" s="276"/>
      <c r="C12" s="65"/>
      <c r="D12" s="222"/>
      <c r="E12" s="222"/>
      <c r="F12" s="143"/>
      <c r="G12" s="222"/>
      <c r="H12" s="222"/>
      <c r="I12" s="222"/>
      <c r="J12" s="144"/>
      <c r="K12" s="222"/>
      <c r="L12" s="222"/>
      <c r="M12" s="222"/>
      <c r="N12" s="143"/>
      <c r="O12" s="222"/>
      <c r="P12" s="222"/>
      <c r="Q12" s="222"/>
      <c r="R12" s="283"/>
      <c r="S12" s="222"/>
      <c r="T12" s="215"/>
      <c r="U12" s="222"/>
      <c r="V12" s="145"/>
      <c r="W12" s="222"/>
      <c r="X12" s="215"/>
      <c r="Y12" s="222"/>
      <c r="Z12" s="145"/>
      <c r="AA12" s="222"/>
      <c r="AB12" s="215"/>
      <c r="AC12" s="222"/>
      <c r="AD12" s="145"/>
      <c r="AE12" s="222"/>
      <c r="AF12" s="215"/>
      <c r="AG12" s="225"/>
      <c r="AH12" s="284"/>
      <c r="AI12" s="66"/>
    </row>
    <row r="13" spans="1:37" ht="16.5" customHeight="1" x14ac:dyDescent="0.25">
      <c r="A13" s="88" t="s">
        <v>56</v>
      </c>
      <c r="B13" s="285"/>
      <c r="C13" s="286"/>
      <c r="D13" s="222"/>
      <c r="E13" s="226"/>
      <c r="F13" s="143"/>
      <c r="G13" s="222"/>
      <c r="H13" s="68"/>
      <c r="I13" s="226"/>
      <c r="J13" s="144"/>
      <c r="K13" s="222"/>
      <c r="L13" s="222"/>
      <c r="M13" s="226"/>
      <c r="N13" s="143"/>
      <c r="O13" s="222"/>
      <c r="P13" s="226"/>
      <c r="Q13" s="226"/>
      <c r="R13" s="283"/>
      <c r="S13" s="222"/>
      <c r="T13" s="226"/>
      <c r="U13" s="226"/>
      <c r="V13" s="283"/>
      <c r="W13" s="222"/>
      <c r="X13" s="222"/>
      <c r="Y13" s="226"/>
      <c r="Z13" s="143"/>
      <c r="AA13" s="222"/>
      <c r="AB13" s="222"/>
      <c r="AC13" s="226"/>
      <c r="AD13" s="143"/>
      <c r="AE13" s="222"/>
      <c r="AF13" s="222"/>
      <c r="AG13" s="225"/>
      <c r="AH13" s="287"/>
      <c r="AI13" s="66"/>
    </row>
    <row r="14" spans="1:37" ht="16.5" customHeight="1" x14ac:dyDescent="0.25">
      <c r="A14" s="88" t="s">
        <v>84</v>
      </c>
      <c r="B14" s="285"/>
      <c r="C14" s="286"/>
      <c r="D14" s="222"/>
      <c r="E14" s="226"/>
      <c r="F14" s="143"/>
      <c r="G14" s="222"/>
      <c r="H14" s="68"/>
      <c r="I14" s="226"/>
      <c r="J14" s="144"/>
      <c r="K14" s="222"/>
      <c r="L14" s="222"/>
      <c r="M14" s="226"/>
      <c r="N14" s="143"/>
      <c r="O14" s="222"/>
      <c r="P14" s="226"/>
      <c r="Q14" s="226"/>
      <c r="R14" s="283"/>
      <c r="S14" s="222"/>
      <c r="T14" s="226"/>
      <c r="U14" s="226"/>
      <c r="V14" s="283"/>
      <c r="W14" s="222"/>
      <c r="X14" s="222"/>
      <c r="Y14" s="226"/>
      <c r="Z14" s="143"/>
      <c r="AA14" s="222"/>
      <c r="AB14" s="222"/>
      <c r="AC14" s="226"/>
      <c r="AD14" s="143"/>
      <c r="AE14" s="222"/>
      <c r="AF14" s="222"/>
      <c r="AG14" s="225"/>
      <c r="AH14" s="287"/>
      <c r="AI14" s="66"/>
    </row>
    <row r="15" spans="1:37" ht="16.5" customHeight="1" x14ac:dyDescent="0.25">
      <c r="A15" s="138" t="s">
        <v>70</v>
      </c>
      <c r="B15" s="288"/>
      <c r="C15" s="289"/>
      <c r="D15" s="204"/>
      <c r="E15" s="227"/>
      <c r="F15" s="152"/>
      <c r="G15" s="204"/>
      <c r="H15" s="247"/>
      <c r="I15" s="227"/>
      <c r="J15" s="153"/>
      <c r="K15" s="204"/>
      <c r="L15" s="204"/>
      <c r="M15" s="227"/>
      <c r="N15" s="152"/>
      <c r="O15" s="204"/>
      <c r="P15" s="227"/>
      <c r="Q15" s="227"/>
      <c r="R15" s="290"/>
      <c r="S15" s="204"/>
      <c r="T15" s="227"/>
      <c r="U15" s="227"/>
      <c r="V15" s="290"/>
      <c r="W15" s="204"/>
      <c r="X15" s="204"/>
      <c r="Y15" s="227"/>
      <c r="Z15" s="152"/>
      <c r="AA15" s="204"/>
      <c r="AB15" s="204"/>
      <c r="AC15" s="227"/>
      <c r="AD15" s="152"/>
      <c r="AE15" s="204"/>
      <c r="AF15" s="204"/>
      <c r="AG15" s="228"/>
      <c r="AH15" s="291"/>
      <c r="AI15" s="66"/>
    </row>
    <row r="16" spans="1:37" ht="16.5" customHeight="1" thickBot="1" x14ac:dyDescent="0.25">
      <c r="A16" s="175" t="s">
        <v>57</v>
      </c>
      <c r="B16" s="292"/>
      <c r="C16" s="293"/>
      <c r="D16" s="232"/>
      <c r="E16" s="233"/>
      <c r="F16" s="176"/>
      <c r="G16" s="232"/>
      <c r="H16" s="232"/>
      <c r="I16" s="233"/>
      <c r="J16" s="176"/>
      <c r="K16" s="232"/>
      <c r="L16" s="232"/>
      <c r="M16" s="233"/>
      <c r="N16" s="294"/>
      <c r="O16" s="232"/>
      <c r="P16" s="231"/>
      <c r="Q16" s="233"/>
      <c r="R16" s="294"/>
      <c r="S16" s="232"/>
      <c r="T16" s="5"/>
      <c r="U16" s="233"/>
      <c r="V16" s="295"/>
      <c r="W16" s="232"/>
      <c r="X16" s="5"/>
      <c r="Y16" s="233"/>
      <c r="Z16" s="295"/>
      <c r="AA16" s="232"/>
      <c r="AB16" s="5"/>
      <c r="AC16" s="233"/>
      <c r="AD16" s="295"/>
      <c r="AE16" s="232"/>
      <c r="AF16" s="5"/>
      <c r="AG16" s="5"/>
      <c r="AH16" s="296"/>
    </row>
    <row r="17" spans="1:37" ht="16.5" customHeight="1" x14ac:dyDescent="0.2">
      <c r="A17" s="1116" t="s">
        <v>8</v>
      </c>
      <c r="B17" s="1118" t="s">
        <v>34</v>
      </c>
      <c r="C17" s="1120" t="s">
        <v>17</v>
      </c>
      <c r="D17" s="191" t="s">
        <v>3</v>
      </c>
      <c r="E17" s="125" t="s">
        <v>4</v>
      </c>
      <c r="F17" s="125" t="s">
        <v>4</v>
      </c>
      <c r="G17" s="125" t="s">
        <v>2</v>
      </c>
      <c r="H17" s="192" t="s">
        <v>2</v>
      </c>
      <c r="I17" s="84" t="s">
        <v>1</v>
      </c>
      <c r="J17" s="125" t="s">
        <v>2</v>
      </c>
      <c r="K17" s="125" t="s">
        <v>3</v>
      </c>
      <c r="L17" s="125" t="s">
        <v>4</v>
      </c>
      <c r="M17" s="125" t="s">
        <v>4</v>
      </c>
      <c r="N17" s="125" t="s">
        <v>2</v>
      </c>
      <c r="O17" s="192" t="s">
        <v>2</v>
      </c>
      <c r="P17" s="84" t="s">
        <v>1</v>
      </c>
      <c r="Q17" s="125" t="s">
        <v>2</v>
      </c>
      <c r="R17" s="125" t="s">
        <v>3</v>
      </c>
      <c r="S17" s="125" t="s">
        <v>4</v>
      </c>
      <c r="T17" s="125" t="s">
        <v>4</v>
      </c>
      <c r="U17" s="125" t="s">
        <v>2</v>
      </c>
      <c r="V17" s="192" t="s">
        <v>2</v>
      </c>
      <c r="W17" s="84" t="s">
        <v>1</v>
      </c>
      <c r="X17" s="125" t="s">
        <v>2</v>
      </c>
      <c r="Y17" s="125" t="s">
        <v>3</v>
      </c>
      <c r="Z17" s="125" t="s">
        <v>4</v>
      </c>
      <c r="AA17" s="125" t="s">
        <v>4</v>
      </c>
      <c r="AB17" s="125" t="s">
        <v>2</v>
      </c>
      <c r="AC17" s="192" t="s">
        <v>2</v>
      </c>
      <c r="AD17" s="84" t="s">
        <v>1</v>
      </c>
      <c r="AE17" s="125" t="s">
        <v>2</v>
      </c>
      <c r="AF17" s="193" t="s">
        <v>3</v>
      </c>
      <c r="AG17" s="194" t="s">
        <v>2</v>
      </c>
      <c r="AH17" s="195" t="s">
        <v>4</v>
      </c>
    </row>
    <row r="18" spans="1:37" ht="17.25" customHeight="1" thickBot="1" x14ac:dyDescent="0.25">
      <c r="A18" s="1117"/>
      <c r="B18" s="1119"/>
      <c r="C18" s="1121"/>
      <c r="D18" s="196">
        <v>1</v>
      </c>
      <c r="E18" s="126">
        <v>2</v>
      </c>
      <c r="F18" s="126">
        <v>3</v>
      </c>
      <c r="G18" s="126">
        <v>4</v>
      </c>
      <c r="H18" s="126">
        <v>5</v>
      </c>
      <c r="I18" s="126">
        <v>6</v>
      </c>
      <c r="J18" s="126">
        <v>7</v>
      </c>
      <c r="K18" s="126">
        <v>8</v>
      </c>
      <c r="L18" s="126">
        <v>9</v>
      </c>
      <c r="M18" s="126">
        <v>10</v>
      </c>
      <c r="N18" s="126">
        <v>11</v>
      </c>
      <c r="O18" s="126">
        <v>12</v>
      </c>
      <c r="P18" s="126">
        <v>13</v>
      </c>
      <c r="Q18" s="126">
        <v>14</v>
      </c>
      <c r="R18" s="126">
        <v>15</v>
      </c>
      <c r="S18" s="126">
        <v>16</v>
      </c>
      <c r="T18" s="126">
        <v>17</v>
      </c>
      <c r="U18" s="126">
        <v>18</v>
      </c>
      <c r="V18" s="126">
        <v>19</v>
      </c>
      <c r="W18" s="126">
        <v>20</v>
      </c>
      <c r="X18" s="126">
        <v>21</v>
      </c>
      <c r="Y18" s="126">
        <v>22</v>
      </c>
      <c r="Z18" s="126">
        <v>23</v>
      </c>
      <c r="AA18" s="126">
        <v>24</v>
      </c>
      <c r="AB18" s="126">
        <v>25</v>
      </c>
      <c r="AC18" s="126">
        <v>26</v>
      </c>
      <c r="AD18" s="126">
        <v>27</v>
      </c>
      <c r="AE18" s="126">
        <v>28</v>
      </c>
      <c r="AF18" s="126">
        <v>29</v>
      </c>
      <c r="AG18" s="135"/>
      <c r="AH18" s="197">
        <v>30</v>
      </c>
    </row>
    <row r="19" spans="1:37" ht="17.25" customHeight="1" x14ac:dyDescent="0.2">
      <c r="A19" s="297" t="s">
        <v>81</v>
      </c>
      <c r="B19" s="298"/>
      <c r="C19" s="299"/>
      <c r="D19" s="210"/>
      <c r="E19" s="265"/>
      <c r="F19" s="265"/>
      <c r="G19" s="266"/>
      <c r="H19" s="265"/>
      <c r="I19" s="265"/>
      <c r="J19" s="265"/>
      <c r="K19" s="266"/>
      <c r="L19" s="265"/>
      <c r="M19" s="265"/>
      <c r="N19" s="265"/>
      <c r="O19" s="266"/>
      <c r="P19" s="265"/>
      <c r="Q19" s="265"/>
      <c r="R19" s="265"/>
      <c r="S19" s="266"/>
      <c r="T19" s="265"/>
      <c r="U19" s="300"/>
      <c r="V19" s="265"/>
      <c r="W19" s="267"/>
      <c r="X19" s="268"/>
      <c r="Y19" s="268"/>
      <c r="Z19" s="265"/>
      <c r="AA19" s="301"/>
      <c r="AB19" s="268"/>
      <c r="AC19" s="268"/>
      <c r="AD19" s="265"/>
      <c r="AE19" s="267"/>
      <c r="AF19" s="268"/>
      <c r="AG19" s="268"/>
      <c r="AH19" s="302"/>
    </row>
    <row r="20" spans="1:37" ht="17.25" customHeight="1" x14ac:dyDescent="0.2">
      <c r="A20" s="91" t="s">
        <v>43</v>
      </c>
      <c r="B20" s="303"/>
      <c r="C20" s="304"/>
      <c r="D20" s="222"/>
      <c r="E20" s="207"/>
      <c r="F20" s="207"/>
      <c r="G20" s="141"/>
      <c r="H20" s="207"/>
      <c r="I20" s="207"/>
      <c r="J20" s="207"/>
      <c r="K20" s="141"/>
      <c r="L20" s="207"/>
      <c r="M20" s="207"/>
      <c r="N20" s="207"/>
      <c r="O20" s="140"/>
      <c r="P20" s="199"/>
      <c r="Q20" s="239"/>
      <c r="R20" s="207"/>
      <c r="S20" s="272"/>
      <c r="T20" s="239"/>
      <c r="U20" s="240"/>
      <c r="V20" s="207"/>
      <c r="W20" s="273"/>
      <c r="X20" s="240"/>
      <c r="Y20" s="240"/>
      <c r="Z20" s="207"/>
      <c r="AA20" s="145"/>
      <c r="AB20" s="240"/>
      <c r="AC20" s="240"/>
      <c r="AD20" s="207"/>
      <c r="AE20" s="273"/>
      <c r="AF20" s="240"/>
      <c r="AG20" s="240"/>
      <c r="AH20" s="305"/>
      <c r="AK20" s="1" t="s">
        <v>37</v>
      </c>
    </row>
    <row r="21" spans="1:37" ht="17.25" customHeight="1" x14ac:dyDescent="0.2">
      <c r="A21" s="91" t="s">
        <v>54</v>
      </c>
      <c r="B21" s="303"/>
      <c r="C21" s="304"/>
      <c r="D21" s="204"/>
      <c r="E21" s="206"/>
      <c r="F21" s="206"/>
      <c r="G21" s="279"/>
      <c r="H21" s="206"/>
      <c r="I21" s="206"/>
      <c r="J21" s="206"/>
      <c r="K21" s="279"/>
      <c r="L21" s="206"/>
      <c r="M21" s="206"/>
      <c r="N21" s="206"/>
      <c r="O21" s="154"/>
      <c r="P21" s="200"/>
      <c r="Q21" s="306"/>
      <c r="R21" s="207"/>
      <c r="S21" s="272"/>
      <c r="T21" s="239"/>
      <c r="U21" s="240"/>
      <c r="V21" s="207"/>
      <c r="W21" s="273"/>
      <c r="X21" s="240"/>
      <c r="Y21" s="240"/>
      <c r="Z21" s="207"/>
      <c r="AA21" s="145"/>
      <c r="AB21" s="240"/>
      <c r="AC21" s="240"/>
      <c r="AD21" s="207"/>
      <c r="AE21" s="273"/>
      <c r="AF21" s="240"/>
      <c r="AG21" s="240"/>
      <c r="AH21" s="305"/>
    </row>
    <row r="22" spans="1:37" ht="17.25" customHeight="1" x14ac:dyDescent="0.25">
      <c r="A22" s="88" t="s">
        <v>65</v>
      </c>
      <c r="B22" s="307"/>
      <c r="C22" s="308"/>
      <c r="D22" s="242"/>
      <c r="E22" s="243"/>
      <c r="F22" s="205"/>
      <c r="G22" s="150"/>
      <c r="H22" s="243"/>
      <c r="I22" s="243"/>
      <c r="J22" s="243"/>
      <c r="K22" s="150"/>
      <c r="L22" s="243"/>
      <c r="M22" s="243"/>
      <c r="N22" s="243"/>
      <c r="O22" s="150"/>
      <c r="P22" s="243"/>
      <c r="Q22" s="244"/>
      <c r="R22" s="241"/>
      <c r="S22" s="309"/>
      <c r="T22" s="217"/>
      <c r="U22" s="225"/>
      <c r="V22" s="241"/>
      <c r="W22" s="309"/>
      <c r="X22" s="225"/>
      <c r="Y22" s="245"/>
      <c r="Z22" s="241"/>
      <c r="AA22" s="309"/>
      <c r="AB22" s="225"/>
      <c r="AC22" s="246"/>
      <c r="AD22" s="241"/>
      <c r="AE22" s="309"/>
      <c r="AF22" s="225"/>
      <c r="AG22" s="225"/>
      <c r="AH22" s="310"/>
    </row>
    <row r="23" spans="1:37" ht="16.5" customHeight="1" x14ac:dyDescent="0.25">
      <c r="A23" s="86" t="s">
        <v>52</v>
      </c>
      <c r="B23" s="276"/>
      <c r="C23" s="308"/>
      <c r="D23" s="222"/>
      <c r="E23" s="68"/>
      <c r="F23" s="222"/>
      <c r="G23" s="143"/>
      <c r="H23" s="222"/>
      <c r="I23" s="222"/>
      <c r="J23" s="224"/>
      <c r="K23" s="143"/>
      <c r="L23" s="222"/>
      <c r="M23" s="222"/>
      <c r="N23" s="224"/>
      <c r="O23" s="143"/>
      <c r="P23" s="222"/>
      <c r="Q23" s="222"/>
      <c r="R23" s="224"/>
      <c r="S23" s="145"/>
      <c r="T23" s="215"/>
      <c r="U23" s="215"/>
      <c r="V23" s="224"/>
      <c r="W23" s="142"/>
      <c r="X23" s="216"/>
      <c r="Y23" s="216"/>
      <c r="Z23" s="224"/>
      <c r="AA23" s="145"/>
      <c r="AB23" s="216"/>
      <c r="AC23" s="216"/>
      <c r="AD23" s="224"/>
      <c r="AE23" s="142"/>
      <c r="AF23" s="216"/>
      <c r="AG23" s="216"/>
      <c r="AH23" s="278"/>
    </row>
    <row r="24" spans="1:37" ht="16.5" customHeight="1" x14ac:dyDescent="0.25">
      <c r="A24" s="89" t="s">
        <v>40</v>
      </c>
      <c r="B24" s="276"/>
      <c r="C24" s="308"/>
      <c r="D24" s="222"/>
      <c r="E24" s="68"/>
      <c r="F24" s="222"/>
      <c r="G24" s="143"/>
      <c r="H24" s="222"/>
      <c r="I24" s="222"/>
      <c r="J24" s="224"/>
      <c r="K24" s="143"/>
      <c r="L24" s="222"/>
      <c r="M24" s="222"/>
      <c r="N24" s="224"/>
      <c r="O24" s="143"/>
      <c r="P24" s="222"/>
      <c r="Q24" s="222"/>
      <c r="R24" s="224"/>
      <c r="S24" s="145"/>
      <c r="T24" s="215"/>
      <c r="U24" s="215"/>
      <c r="V24" s="224"/>
      <c r="W24" s="145"/>
      <c r="X24" s="215"/>
      <c r="Y24" s="215"/>
      <c r="Z24" s="224"/>
      <c r="AA24" s="145"/>
      <c r="AB24" s="215"/>
      <c r="AC24" s="215"/>
      <c r="AD24" s="224"/>
      <c r="AE24" s="145"/>
      <c r="AF24" s="215"/>
      <c r="AG24" s="225"/>
      <c r="AH24" s="310"/>
    </row>
    <row r="25" spans="1:37" ht="16.5" customHeight="1" x14ac:dyDescent="0.25">
      <c r="A25" s="89" t="s">
        <v>105</v>
      </c>
      <c r="B25" s="276"/>
      <c r="C25" s="308"/>
      <c r="D25" s="222"/>
      <c r="E25" s="68"/>
      <c r="F25" s="222"/>
      <c r="G25" s="143"/>
      <c r="H25" s="222"/>
      <c r="I25" s="222"/>
      <c r="J25" s="224"/>
      <c r="K25" s="143"/>
      <c r="L25" s="222"/>
      <c r="M25" s="222"/>
      <c r="N25" s="224"/>
      <c r="O25" s="143"/>
      <c r="P25" s="222"/>
      <c r="Q25" s="222"/>
      <c r="R25" s="224"/>
      <c r="S25" s="143"/>
      <c r="T25" s="222"/>
      <c r="U25" s="222"/>
      <c r="V25" s="224"/>
      <c r="W25" s="143"/>
      <c r="X25" s="222"/>
      <c r="Y25" s="222"/>
      <c r="Z25" s="224"/>
      <c r="AA25" s="143"/>
      <c r="AB25" s="222"/>
      <c r="AC25" s="222"/>
      <c r="AD25" s="224"/>
      <c r="AE25" s="143"/>
      <c r="AF25" s="222"/>
      <c r="AG25" s="222"/>
      <c r="AH25" s="284"/>
    </row>
    <row r="26" spans="1:37" ht="16.5" customHeight="1" x14ac:dyDescent="0.25">
      <c r="A26" s="89" t="s">
        <v>78</v>
      </c>
      <c r="B26" s="276"/>
      <c r="C26" s="308"/>
      <c r="D26" s="222"/>
      <c r="E26" s="68"/>
      <c r="F26" s="222"/>
      <c r="G26" s="143"/>
      <c r="H26" s="222"/>
      <c r="I26" s="222"/>
      <c r="J26" s="224"/>
      <c r="K26" s="143"/>
      <c r="L26" s="222"/>
      <c r="M26" s="222"/>
      <c r="N26" s="224"/>
      <c r="O26" s="143"/>
      <c r="P26" s="222"/>
      <c r="Q26" s="222"/>
      <c r="R26" s="224"/>
      <c r="S26" s="145"/>
      <c r="T26" s="215"/>
      <c r="U26" s="215"/>
      <c r="V26" s="224"/>
      <c r="W26" s="145"/>
      <c r="X26" s="215"/>
      <c r="Y26" s="215"/>
      <c r="Z26" s="224"/>
      <c r="AA26" s="145"/>
      <c r="AB26" s="215"/>
      <c r="AC26" s="215"/>
      <c r="AD26" s="224"/>
      <c r="AE26" s="145"/>
      <c r="AF26" s="215"/>
      <c r="AG26" s="225"/>
      <c r="AH26" s="310"/>
    </row>
    <row r="27" spans="1:37" ht="16.5" customHeight="1" thickBot="1" x14ac:dyDescent="0.3">
      <c r="A27" s="175" t="s">
        <v>79</v>
      </c>
      <c r="B27" s="292"/>
      <c r="C27" s="311"/>
      <c r="D27" s="232"/>
      <c r="E27" s="249"/>
      <c r="F27" s="232"/>
      <c r="G27" s="176"/>
      <c r="H27" s="232"/>
      <c r="I27" s="232"/>
      <c r="J27" s="85"/>
      <c r="K27" s="176"/>
      <c r="L27" s="232"/>
      <c r="M27" s="232"/>
      <c r="N27" s="85"/>
      <c r="O27" s="176"/>
      <c r="P27" s="232"/>
      <c r="Q27" s="232"/>
      <c r="R27" s="85"/>
      <c r="S27" s="157"/>
      <c r="T27" s="250"/>
      <c r="U27" s="250"/>
      <c r="V27" s="85"/>
      <c r="W27" s="157"/>
      <c r="X27" s="250"/>
      <c r="Y27" s="250"/>
      <c r="Z27" s="85"/>
      <c r="AA27" s="157"/>
      <c r="AB27" s="250"/>
      <c r="AC27" s="250"/>
      <c r="AD27" s="85"/>
      <c r="AE27" s="157"/>
      <c r="AF27" s="250"/>
      <c r="AG27" s="251"/>
      <c r="AH27" s="312"/>
    </row>
    <row r="28" spans="1:37" ht="16.5" customHeight="1" x14ac:dyDescent="0.2">
      <c r="A28" s="1109" t="s">
        <v>5</v>
      </c>
      <c r="B28" s="1099" t="s">
        <v>34</v>
      </c>
      <c r="C28" s="1101" t="s">
        <v>17</v>
      </c>
      <c r="D28" s="191" t="s">
        <v>3</v>
      </c>
      <c r="E28" s="125" t="s">
        <v>4</v>
      </c>
      <c r="F28" s="125" t="s">
        <v>4</v>
      </c>
      <c r="G28" s="125" t="s">
        <v>2</v>
      </c>
      <c r="H28" s="192" t="s">
        <v>2</v>
      </c>
      <c r="I28" s="84" t="s">
        <v>1</v>
      </c>
      <c r="J28" s="125" t="s">
        <v>2</v>
      </c>
      <c r="K28" s="125" t="s">
        <v>3</v>
      </c>
      <c r="L28" s="125" t="s">
        <v>4</v>
      </c>
      <c r="M28" s="125" t="s">
        <v>4</v>
      </c>
      <c r="N28" s="125" t="s">
        <v>2</v>
      </c>
      <c r="O28" s="192" t="s">
        <v>2</v>
      </c>
      <c r="P28" s="84" t="s">
        <v>1</v>
      </c>
      <c r="Q28" s="125" t="s">
        <v>2</v>
      </c>
      <c r="R28" s="125" t="s">
        <v>3</v>
      </c>
      <c r="S28" s="125" t="s">
        <v>4</v>
      </c>
      <c r="T28" s="125" t="s">
        <v>4</v>
      </c>
      <c r="U28" s="125" t="s">
        <v>2</v>
      </c>
      <c r="V28" s="192" t="s">
        <v>2</v>
      </c>
      <c r="W28" s="84" t="s">
        <v>1</v>
      </c>
      <c r="X28" s="125" t="s">
        <v>2</v>
      </c>
      <c r="Y28" s="125" t="s">
        <v>3</v>
      </c>
      <c r="Z28" s="125" t="s">
        <v>4</v>
      </c>
      <c r="AA28" s="125" t="s">
        <v>4</v>
      </c>
      <c r="AB28" s="125" t="s">
        <v>2</v>
      </c>
      <c r="AC28" s="192" t="s">
        <v>2</v>
      </c>
      <c r="AD28" s="84" t="s">
        <v>1</v>
      </c>
      <c r="AE28" s="125" t="s">
        <v>2</v>
      </c>
      <c r="AF28" s="193" t="s">
        <v>3</v>
      </c>
      <c r="AG28" s="194" t="s">
        <v>2</v>
      </c>
      <c r="AH28" s="195" t="s">
        <v>4</v>
      </c>
    </row>
    <row r="29" spans="1:37" ht="16.5" customHeight="1" thickBot="1" x14ac:dyDescent="0.25">
      <c r="A29" s="1110"/>
      <c r="B29" s="1100"/>
      <c r="C29" s="1102"/>
      <c r="D29" s="196">
        <v>1</v>
      </c>
      <c r="E29" s="126">
        <v>2</v>
      </c>
      <c r="F29" s="126">
        <v>3</v>
      </c>
      <c r="G29" s="126">
        <v>4</v>
      </c>
      <c r="H29" s="126">
        <v>5</v>
      </c>
      <c r="I29" s="126">
        <v>6</v>
      </c>
      <c r="J29" s="126">
        <v>7</v>
      </c>
      <c r="K29" s="126">
        <v>8</v>
      </c>
      <c r="L29" s="126">
        <v>9</v>
      </c>
      <c r="M29" s="126">
        <v>10</v>
      </c>
      <c r="N29" s="126">
        <v>11</v>
      </c>
      <c r="O29" s="126">
        <v>12</v>
      </c>
      <c r="P29" s="126">
        <v>13</v>
      </c>
      <c r="Q29" s="126">
        <v>14</v>
      </c>
      <c r="R29" s="126">
        <v>15</v>
      </c>
      <c r="S29" s="126">
        <v>16</v>
      </c>
      <c r="T29" s="126">
        <v>17</v>
      </c>
      <c r="U29" s="126">
        <v>18</v>
      </c>
      <c r="V29" s="126">
        <v>19</v>
      </c>
      <c r="W29" s="126">
        <v>20</v>
      </c>
      <c r="X29" s="126">
        <v>21</v>
      </c>
      <c r="Y29" s="126">
        <v>22</v>
      </c>
      <c r="Z29" s="126">
        <v>23</v>
      </c>
      <c r="AA29" s="126">
        <v>24</v>
      </c>
      <c r="AB29" s="126">
        <v>25</v>
      </c>
      <c r="AC29" s="126">
        <v>26</v>
      </c>
      <c r="AD29" s="126">
        <v>27</v>
      </c>
      <c r="AE29" s="126">
        <v>28</v>
      </c>
      <c r="AF29" s="126">
        <v>29</v>
      </c>
      <c r="AG29" s="135"/>
      <c r="AH29" s="197">
        <v>30</v>
      </c>
    </row>
    <row r="30" spans="1:37" ht="17.25" customHeight="1" x14ac:dyDescent="0.2">
      <c r="A30" s="262" t="s">
        <v>44</v>
      </c>
      <c r="B30" s="313"/>
      <c r="C30" s="264"/>
      <c r="D30" s="314"/>
      <c r="E30" s="315"/>
      <c r="F30" s="315"/>
      <c r="G30" s="315"/>
      <c r="H30" s="314"/>
      <c r="I30" s="315"/>
      <c r="J30" s="315"/>
      <c r="K30" s="315"/>
      <c r="L30" s="314"/>
      <c r="M30" s="315"/>
      <c r="N30" s="315"/>
      <c r="O30" s="315"/>
      <c r="P30" s="314"/>
      <c r="Q30" s="315"/>
      <c r="R30" s="316"/>
      <c r="S30" s="316"/>
      <c r="T30" s="317"/>
      <c r="U30" s="315"/>
      <c r="V30" s="318"/>
      <c r="W30" s="318"/>
      <c r="X30" s="319"/>
      <c r="Y30" s="315"/>
      <c r="Z30" s="318"/>
      <c r="AA30" s="318"/>
      <c r="AB30" s="319"/>
      <c r="AC30" s="315"/>
      <c r="AD30" s="318"/>
      <c r="AE30" s="318"/>
      <c r="AF30" s="319"/>
      <c r="AG30" s="318"/>
      <c r="AH30" s="320"/>
    </row>
    <row r="31" spans="1:37" ht="17.25" customHeight="1" x14ac:dyDescent="0.25">
      <c r="A31" s="88" t="s">
        <v>64</v>
      </c>
      <c r="B31" s="321"/>
      <c r="C31" s="322"/>
      <c r="D31" s="149"/>
      <c r="E31" s="217"/>
      <c r="F31" s="217"/>
      <c r="G31" s="69"/>
      <c r="H31" s="149"/>
      <c r="I31" s="217"/>
      <c r="J31" s="217"/>
      <c r="K31" s="69"/>
      <c r="L31" s="149"/>
      <c r="M31" s="217"/>
      <c r="N31" s="217"/>
      <c r="O31" s="69"/>
      <c r="P31" s="149"/>
      <c r="Q31" s="217"/>
      <c r="R31" s="217"/>
      <c r="S31" s="217"/>
      <c r="T31" s="149"/>
      <c r="U31" s="217"/>
      <c r="V31" s="216"/>
      <c r="W31" s="216"/>
      <c r="X31" s="142"/>
      <c r="Y31" s="217"/>
      <c r="Z31" s="216"/>
      <c r="AA31" s="216"/>
      <c r="AB31" s="142"/>
      <c r="AC31" s="217"/>
      <c r="AD31" s="216"/>
      <c r="AE31" s="216"/>
      <c r="AF31" s="142"/>
      <c r="AG31" s="216"/>
      <c r="AH31" s="323"/>
    </row>
    <row r="32" spans="1:37" ht="17.25" customHeight="1" x14ac:dyDescent="0.25">
      <c r="A32" s="88" t="s">
        <v>47</v>
      </c>
      <c r="B32" s="321"/>
      <c r="C32" s="322"/>
      <c r="D32" s="324"/>
      <c r="E32" s="213"/>
      <c r="F32" s="213"/>
      <c r="G32" s="69"/>
      <c r="H32" s="324"/>
      <c r="I32" s="213"/>
      <c r="J32" s="213"/>
      <c r="K32" s="69"/>
      <c r="L32" s="324"/>
      <c r="M32" s="213"/>
      <c r="N32" s="217"/>
      <c r="O32" s="69"/>
      <c r="P32" s="149"/>
      <c r="Q32" s="217"/>
      <c r="R32" s="217"/>
      <c r="S32" s="217"/>
      <c r="T32" s="149"/>
      <c r="U32" s="217"/>
      <c r="V32" s="216"/>
      <c r="W32" s="216"/>
      <c r="X32" s="142"/>
      <c r="Y32" s="217"/>
      <c r="Z32" s="216"/>
      <c r="AA32" s="216"/>
      <c r="AB32" s="142"/>
      <c r="AC32" s="217"/>
      <c r="AD32" s="216"/>
      <c r="AE32" s="216"/>
      <c r="AF32" s="142"/>
      <c r="AG32" s="216"/>
      <c r="AH32" s="323"/>
    </row>
    <row r="33" spans="1:51" ht="16.5" customHeight="1" x14ac:dyDescent="0.25">
      <c r="A33" s="86" t="s">
        <v>14</v>
      </c>
      <c r="B33" s="325"/>
      <c r="C33" s="326"/>
      <c r="D33" s="148"/>
      <c r="E33" s="219"/>
      <c r="F33" s="219"/>
      <c r="G33" s="69"/>
      <c r="H33" s="327"/>
      <c r="I33" s="219"/>
      <c r="J33" s="221"/>
      <c r="K33" s="69"/>
      <c r="L33" s="148"/>
      <c r="M33" s="219"/>
      <c r="N33" s="222"/>
      <c r="O33" s="69"/>
      <c r="P33" s="143"/>
      <c r="Q33" s="222"/>
      <c r="R33" s="223"/>
      <c r="S33" s="215"/>
      <c r="T33" s="145"/>
      <c r="U33" s="222"/>
      <c r="V33" s="215"/>
      <c r="W33" s="215"/>
      <c r="X33" s="145"/>
      <c r="Y33" s="222"/>
      <c r="Z33" s="215"/>
      <c r="AA33" s="215"/>
      <c r="AB33" s="145"/>
      <c r="AC33" s="222"/>
      <c r="AD33" s="215"/>
      <c r="AE33" s="215"/>
      <c r="AF33" s="145"/>
      <c r="AG33" s="225"/>
      <c r="AH33" s="284"/>
    </row>
    <row r="34" spans="1:51" ht="16.5" customHeight="1" x14ac:dyDescent="0.2">
      <c r="A34" s="86" t="s">
        <v>51</v>
      </c>
      <c r="B34" s="325"/>
      <c r="C34" s="326"/>
      <c r="D34" s="328"/>
      <c r="E34" s="226"/>
      <c r="F34" s="222"/>
      <c r="G34" s="222"/>
      <c r="H34" s="283"/>
      <c r="I34" s="226"/>
      <c r="J34" s="224"/>
      <c r="K34" s="222"/>
      <c r="L34" s="143"/>
      <c r="M34" s="226"/>
      <c r="N34" s="222"/>
      <c r="O34" s="222"/>
      <c r="P34" s="147"/>
      <c r="Q34" s="226"/>
      <c r="R34" s="223"/>
      <c r="S34" s="222"/>
      <c r="T34" s="143"/>
      <c r="U34" s="222"/>
      <c r="V34" s="222"/>
      <c r="W34" s="222"/>
      <c r="X34" s="143"/>
      <c r="Y34" s="222"/>
      <c r="Z34" s="222"/>
      <c r="AA34" s="222"/>
      <c r="AB34" s="143"/>
      <c r="AC34" s="222"/>
      <c r="AD34" s="222"/>
      <c r="AE34" s="222"/>
      <c r="AF34" s="143"/>
      <c r="AG34" s="222"/>
      <c r="AH34" s="284"/>
      <c r="AK34" s="1" t="s">
        <v>37</v>
      </c>
    </row>
    <row r="35" spans="1:51" ht="16.5" customHeight="1" x14ac:dyDescent="0.25">
      <c r="A35" s="90" t="s">
        <v>85</v>
      </c>
      <c r="B35" s="285"/>
      <c r="C35" s="329"/>
      <c r="D35" s="328"/>
      <c r="E35" s="207"/>
      <c r="F35" s="68"/>
      <c r="G35" s="207"/>
      <c r="H35" s="141"/>
      <c r="I35" s="207"/>
      <c r="J35" s="207"/>
      <c r="K35" s="207"/>
      <c r="L35" s="141"/>
      <c r="M35" s="207"/>
      <c r="N35" s="207"/>
      <c r="O35" s="207"/>
      <c r="P35" s="141"/>
      <c r="Q35" s="207"/>
      <c r="R35" s="208"/>
      <c r="S35" s="208"/>
      <c r="T35" s="280"/>
      <c r="U35" s="207"/>
      <c r="V35" s="223"/>
      <c r="W35" s="208"/>
      <c r="X35" s="143"/>
      <c r="Y35" s="207"/>
      <c r="Z35" s="215"/>
      <c r="AA35" s="208"/>
      <c r="AB35" s="145"/>
      <c r="AC35" s="207"/>
      <c r="AD35" s="222"/>
      <c r="AE35" s="208"/>
      <c r="AF35" s="143"/>
      <c r="AG35" s="225"/>
      <c r="AH35" s="330"/>
    </row>
    <row r="36" spans="1:51" ht="16.5" customHeight="1" x14ac:dyDescent="0.2">
      <c r="A36" s="90" t="s">
        <v>72</v>
      </c>
      <c r="B36" s="331"/>
      <c r="C36" s="332"/>
      <c r="D36" s="143"/>
      <c r="E36" s="222"/>
      <c r="F36" s="215"/>
      <c r="G36" s="222"/>
      <c r="H36" s="143"/>
      <c r="I36" s="222"/>
      <c r="J36" s="215"/>
      <c r="K36" s="222"/>
      <c r="L36" s="145"/>
      <c r="M36" s="222"/>
      <c r="N36" s="215"/>
      <c r="O36" s="222"/>
      <c r="P36" s="145"/>
      <c r="Q36" s="222"/>
      <c r="R36" s="226"/>
      <c r="S36" s="222"/>
      <c r="T36" s="145"/>
      <c r="U36" s="222"/>
      <c r="V36" s="215"/>
      <c r="W36" s="222"/>
      <c r="X36" s="145"/>
      <c r="Y36" s="222"/>
      <c r="Z36" s="215"/>
      <c r="AA36" s="222"/>
      <c r="AB36" s="145"/>
      <c r="AC36" s="222"/>
      <c r="AD36" s="215"/>
      <c r="AE36" s="222"/>
      <c r="AF36" s="145"/>
      <c r="AG36" s="225"/>
      <c r="AH36" s="284"/>
    </row>
    <row r="37" spans="1:51" ht="16.5" customHeight="1" x14ac:dyDescent="0.2">
      <c r="A37" s="86" t="s">
        <v>49</v>
      </c>
      <c r="B37" s="276"/>
      <c r="C37" s="308"/>
      <c r="D37" s="143"/>
      <c r="E37" s="222"/>
      <c r="F37" s="222"/>
      <c r="G37" s="222"/>
      <c r="H37" s="143"/>
      <c r="I37" s="222"/>
      <c r="J37" s="222"/>
      <c r="K37" s="222"/>
      <c r="L37" s="143"/>
      <c r="M37" s="222"/>
      <c r="N37" s="222"/>
      <c r="O37" s="219"/>
      <c r="P37" s="148"/>
      <c r="Q37" s="219"/>
      <c r="R37" s="219"/>
      <c r="S37" s="198"/>
      <c r="T37" s="158"/>
      <c r="U37" s="219"/>
      <c r="V37" s="198"/>
      <c r="W37" s="219"/>
      <c r="X37" s="158"/>
      <c r="Y37" s="219"/>
      <c r="Z37" s="198"/>
      <c r="AA37" s="219"/>
      <c r="AB37" s="158"/>
      <c r="AC37" s="219"/>
      <c r="AD37" s="198"/>
      <c r="AE37" s="219"/>
      <c r="AF37" s="158"/>
      <c r="AG37" s="255"/>
      <c r="AH37" s="333"/>
    </row>
    <row r="38" spans="1:51" ht="16.5" customHeight="1" thickBot="1" x14ac:dyDescent="0.25">
      <c r="A38" s="175" t="s">
        <v>62</v>
      </c>
      <c r="B38" s="334"/>
      <c r="C38" s="293"/>
      <c r="D38" s="176"/>
      <c r="E38" s="232"/>
      <c r="F38" s="230"/>
      <c r="G38" s="232"/>
      <c r="H38" s="176"/>
      <c r="I38" s="232"/>
      <c r="J38" s="250"/>
      <c r="K38" s="232"/>
      <c r="L38" s="157"/>
      <c r="M38" s="232"/>
      <c r="N38" s="250"/>
      <c r="O38" s="232"/>
      <c r="P38" s="157"/>
      <c r="Q38" s="232"/>
      <c r="R38" s="335"/>
      <c r="S38" s="232"/>
      <c r="T38" s="157"/>
      <c r="U38" s="232"/>
      <c r="V38" s="250"/>
      <c r="W38" s="232"/>
      <c r="X38" s="157"/>
      <c r="Y38" s="232"/>
      <c r="Z38" s="250"/>
      <c r="AA38" s="232"/>
      <c r="AB38" s="157"/>
      <c r="AC38" s="232"/>
      <c r="AD38" s="250"/>
      <c r="AE38" s="232"/>
      <c r="AF38" s="157"/>
      <c r="AG38" s="251"/>
      <c r="AH38" s="336"/>
    </row>
    <row r="39" spans="1:51" ht="17.25" customHeight="1" x14ac:dyDescent="0.2">
      <c r="A39" s="1103" t="s">
        <v>6</v>
      </c>
      <c r="B39" s="1105" t="s">
        <v>34</v>
      </c>
      <c r="C39" s="1107" t="s">
        <v>17</v>
      </c>
      <c r="D39" s="191" t="s">
        <v>3</v>
      </c>
      <c r="E39" s="125" t="s">
        <v>4</v>
      </c>
      <c r="F39" s="125" t="s">
        <v>4</v>
      </c>
      <c r="G39" s="125" t="s">
        <v>2</v>
      </c>
      <c r="H39" s="192" t="s">
        <v>2</v>
      </c>
      <c r="I39" s="84" t="s">
        <v>1</v>
      </c>
      <c r="J39" s="125" t="s">
        <v>2</v>
      </c>
      <c r="K39" s="125" t="s">
        <v>3</v>
      </c>
      <c r="L39" s="125" t="s">
        <v>4</v>
      </c>
      <c r="M39" s="125" t="s">
        <v>4</v>
      </c>
      <c r="N39" s="125" t="s">
        <v>2</v>
      </c>
      <c r="O39" s="192" t="s">
        <v>2</v>
      </c>
      <c r="P39" s="84" t="s">
        <v>1</v>
      </c>
      <c r="Q39" s="125" t="s">
        <v>2</v>
      </c>
      <c r="R39" s="125" t="s">
        <v>3</v>
      </c>
      <c r="S39" s="125" t="s">
        <v>4</v>
      </c>
      <c r="T39" s="125" t="s">
        <v>4</v>
      </c>
      <c r="U39" s="125" t="s">
        <v>2</v>
      </c>
      <c r="V39" s="192" t="s">
        <v>2</v>
      </c>
      <c r="W39" s="84" t="s">
        <v>1</v>
      </c>
      <c r="X39" s="125" t="s">
        <v>2</v>
      </c>
      <c r="Y39" s="125" t="s">
        <v>3</v>
      </c>
      <c r="Z39" s="125" t="s">
        <v>4</v>
      </c>
      <c r="AA39" s="125" t="s">
        <v>4</v>
      </c>
      <c r="AB39" s="125" t="s">
        <v>2</v>
      </c>
      <c r="AC39" s="192" t="s">
        <v>2</v>
      </c>
      <c r="AD39" s="84" t="s">
        <v>1</v>
      </c>
      <c r="AE39" s="125" t="s">
        <v>2</v>
      </c>
      <c r="AF39" s="193" t="s">
        <v>3</v>
      </c>
      <c r="AG39" s="194" t="s">
        <v>2</v>
      </c>
      <c r="AH39" s="195" t="s">
        <v>4</v>
      </c>
      <c r="AJ39" s="79"/>
      <c r="AK39" s="79"/>
      <c r="AL39" s="79"/>
      <c r="AM39" s="79"/>
      <c r="AN39" s="79"/>
      <c r="AO39" s="132"/>
      <c r="AP39" s="78"/>
      <c r="AQ39" s="78"/>
      <c r="AR39" s="76"/>
      <c r="AS39" s="78"/>
      <c r="AT39" s="78"/>
      <c r="AU39" s="78"/>
      <c r="AV39" s="76"/>
      <c r="AW39" s="78"/>
      <c r="AX39" s="78"/>
      <c r="AY39" s="78"/>
    </row>
    <row r="40" spans="1:51" ht="17.25" customHeight="1" thickBot="1" x14ac:dyDescent="0.25">
      <c r="A40" s="1104"/>
      <c r="B40" s="1106"/>
      <c r="C40" s="1108"/>
      <c r="D40" s="237">
        <v>1</v>
      </c>
      <c r="E40" s="139">
        <v>2</v>
      </c>
      <c r="F40" s="139">
        <v>3</v>
      </c>
      <c r="G40" s="139">
        <v>4</v>
      </c>
      <c r="H40" s="139">
        <v>5</v>
      </c>
      <c r="I40" s="139">
        <v>6</v>
      </c>
      <c r="J40" s="139">
        <v>7</v>
      </c>
      <c r="K40" s="139">
        <v>8</v>
      </c>
      <c r="L40" s="139">
        <v>9</v>
      </c>
      <c r="M40" s="139">
        <v>10</v>
      </c>
      <c r="N40" s="139">
        <v>11</v>
      </c>
      <c r="O40" s="139">
        <v>12</v>
      </c>
      <c r="P40" s="139">
        <v>13</v>
      </c>
      <c r="Q40" s="139">
        <v>14</v>
      </c>
      <c r="R40" s="139">
        <v>15</v>
      </c>
      <c r="S40" s="139">
        <v>16</v>
      </c>
      <c r="T40" s="139">
        <v>17</v>
      </c>
      <c r="U40" s="139">
        <v>18</v>
      </c>
      <c r="V40" s="139">
        <v>19</v>
      </c>
      <c r="W40" s="139">
        <v>20</v>
      </c>
      <c r="X40" s="139">
        <v>21</v>
      </c>
      <c r="Y40" s="139">
        <v>22</v>
      </c>
      <c r="Z40" s="139">
        <v>23</v>
      </c>
      <c r="AA40" s="139">
        <v>24</v>
      </c>
      <c r="AB40" s="139">
        <v>25</v>
      </c>
      <c r="AC40" s="139">
        <v>26</v>
      </c>
      <c r="AD40" s="139">
        <v>27</v>
      </c>
      <c r="AE40" s="139">
        <v>28</v>
      </c>
      <c r="AF40" s="139">
        <v>29</v>
      </c>
      <c r="AG40" s="151"/>
      <c r="AH40" s="238">
        <v>30</v>
      </c>
      <c r="AJ40" s="79"/>
      <c r="AK40" s="79"/>
      <c r="AL40" s="79"/>
      <c r="AM40" s="79"/>
      <c r="AN40" s="79"/>
      <c r="AO40" s="79"/>
      <c r="AP40" s="79"/>
      <c r="AQ40" s="79"/>
      <c r="AR40" s="167"/>
      <c r="AS40" s="79"/>
      <c r="AT40" s="79"/>
      <c r="AU40" s="79"/>
      <c r="AV40" s="167"/>
      <c r="AW40" s="79"/>
      <c r="AX40" s="79"/>
      <c r="AY40" s="79"/>
    </row>
    <row r="41" spans="1:51" ht="17.25" customHeight="1" x14ac:dyDescent="0.2">
      <c r="A41" s="297" t="s">
        <v>42</v>
      </c>
      <c r="B41" s="337"/>
      <c r="C41" s="268"/>
      <c r="D41" s="338"/>
      <c r="E41" s="339"/>
      <c r="F41" s="338"/>
      <c r="G41" s="338"/>
      <c r="H41" s="338"/>
      <c r="I41" s="339"/>
      <c r="J41" s="338"/>
      <c r="K41" s="338"/>
      <c r="L41" s="338"/>
      <c r="M41" s="339"/>
      <c r="N41" s="338"/>
      <c r="O41" s="338"/>
      <c r="P41" s="338"/>
      <c r="Q41" s="339"/>
      <c r="R41" s="338"/>
      <c r="S41" s="338"/>
      <c r="T41" s="338"/>
      <c r="U41" s="301"/>
      <c r="V41" s="210"/>
      <c r="W41" s="210"/>
      <c r="X41" s="210"/>
      <c r="Y41" s="301"/>
      <c r="Z41" s="210"/>
      <c r="AA41" s="210"/>
      <c r="AB41" s="210"/>
      <c r="AC41" s="301"/>
      <c r="AD41" s="210"/>
      <c r="AE41" s="210"/>
      <c r="AF41" s="210"/>
      <c r="AG41" s="210"/>
      <c r="AH41" s="340"/>
    </row>
    <row r="42" spans="1:51" ht="17.25" customHeight="1" x14ac:dyDescent="0.25">
      <c r="A42" s="86" t="s">
        <v>41</v>
      </c>
      <c r="B42" s="276"/>
      <c r="C42" s="332"/>
      <c r="D42" s="216"/>
      <c r="E42" s="142"/>
      <c r="F42" s="216"/>
      <c r="G42" s="216"/>
      <c r="H42" s="216"/>
      <c r="I42" s="142"/>
      <c r="J42" s="216"/>
      <c r="K42" s="216"/>
      <c r="L42" s="216"/>
      <c r="M42" s="142"/>
      <c r="N42" s="216"/>
      <c r="O42" s="217"/>
      <c r="P42" s="216"/>
      <c r="Q42" s="142"/>
      <c r="R42" s="216"/>
      <c r="S42" s="216"/>
      <c r="T42" s="216"/>
      <c r="U42" s="341"/>
      <c r="V42" s="217"/>
      <c r="W42" s="216"/>
      <c r="X42" s="216"/>
      <c r="Y42" s="149"/>
      <c r="Z42" s="217"/>
      <c r="AA42" s="216"/>
      <c r="AB42" s="216"/>
      <c r="AC42" s="342"/>
      <c r="AD42" s="217"/>
      <c r="AE42" s="216"/>
      <c r="AF42" s="216"/>
      <c r="AG42" s="216"/>
      <c r="AH42" s="343"/>
    </row>
    <row r="43" spans="1:51" ht="17.25" customHeight="1" x14ac:dyDescent="0.25">
      <c r="A43" s="86" t="s">
        <v>80</v>
      </c>
      <c r="B43" s="276"/>
      <c r="C43" s="332"/>
      <c r="D43" s="216"/>
      <c r="E43" s="142"/>
      <c r="F43" s="216"/>
      <c r="G43" s="216"/>
      <c r="H43" s="216"/>
      <c r="I43" s="142"/>
      <c r="J43" s="216"/>
      <c r="K43" s="216"/>
      <c r="L43" s="216"/>
      <c r="M43" s="142"/>
      <c r="N43" s="216"/>
      <c r="O43" s="217"/>
      <c r="P43" s="216"/>
      <c r="Q43" s="142"/>
      <c r="R43" s="216"/>
      <c r="S43" s="216"/>
      <c r="T43" s="216"/>
      <c r="U43" s="341"/>
      <c r="V43" s="217"/>
      <c r="W43" s="216"/>
      <c r="X43" s="216"/>
      <c r="Y43" s="149"/>
      <c r="Z43" s="217"/>
      <c r="AA43" s="216"/>
      <c r="AB43" s="216"/>
      <c r="AC43" s="342"/>
      <c r="AD43" s="217"/>
      <c r="AE43" s="216"/>
      <c r="AF43" s="216"/>
      <c r="AG43" s="216"/>
      <c r="AH43" s="343"/>
    </row>
    <row r="44" spans="1:51" ht="17.25" customHeight="1" x14ac:dyDescent="0.2">
      <c r="A44" s="86" t="s">
        <v>60</v>
      </c>
      <c r="B44" s="276"/>
      <c r="C44" s="344"/>
      <c r="D44" s="222"/>
      <c r="E44" s="143"/>
      <c r="F44" s="222"/>
      <c r="G44" s="222"/>
      <c r="H44" s="217"/>
      <c r="I44" s="143"/>
      <c r="J44" s="222"/>
      <c r="K44" s="222"/>
      <c r="L44" s="217"/>
      <c r="M44" s="143"/>
      <c r="N44" s="222"/>
      <c r="O44" s="215"/>
      <c r="P44" s="217"/>
      <c r="Q44" s="143"/>
      <c r="R44" s="222"/>
      <c r="S44" s="215"/>
      <c r="T44" s="215"/>
      <c r="U44" s="145"/>
      <c r="V44" s="222"/>
      <c r="W44" s="215"/>
      <c r="X44" s="215"/>
      <c r="Y44" s="145"/>
      <c r="Z44" s="222"/>
      <c r="AA44" s="215"/>
      <c r="AB44" s="215"/>
      <c r="AC44" s="145"/>
      <c r="AD44" s="222"/>
      <c r="AE44" s="215"/>
      <c r="AF44" s="215"/>
      <c r="AG44" s="216"/>
      <c r="AH44" s="343"/>
    </row>
    <row r="45" spans="1:51" ht="17.25" customHeight="1" x14ac:dyDescent="0.25">
      <c r="A45" s="86" t="s">
        <v>67</v>
      </c>
      <c r="B45" s="276"/>
      <c r="C45" s="344"/>
      <c r="D45" s="215"/>
      <c r="E45" s="145"/>
      <c r="F45" s="215"/>
      <c r="G45" s="68"/>
      <c r="H45" s="215"/>
      <c r="I45" s="145"/>
      <c r="J45" s="215"/>
      <c r="K45" s="215"/>
      <c r="L45" s="215"/>
      <c r="M45" s="145"/>
      <c r="N45" s="215"/>
      <c r="O45" s="215"/>
      <c r="P45" s="215"/>
      <c r="Q45" s="145"/>
      <c r="R45" s="215"/>
      <c r="S45" s="215"/>
      <c r="T45" s="253"/>
      <c r="U45" s="156"/>
      <c r="V45" s="253"/>
      <c r="W45" s="253"/>
      <c r="X45" s="253"/>
      <c r="Y45" s="156"/>
      <c r="Z45" s="253"/>
      <c r="AA45" s="253"/>
      <c r="AB45" s="253"/>
      <c r="AC45" s="156"/>
      <c r="AD45" s="253"/>
      <c r="AE45" s="253"/>
      <c r="AF45" s="253"/>
      <c r="AG45" s="257"/>
      <c r="AH45" s="345"/>
    </row>
    <row r="46" spans="1:51" ht="17.25" customHeight="1" x14ac:dyDescent="0.2">
      <c r="A46" s="88" t="s">
        <v>66</v>
      </c>
      <c r="B46" s="276"/>
      <c r="C46" s="344"/>
      <c r="D46" s="222"/>
      <c r="E46" s="145"/>
      <c r="F46" s="222"/>
      <c r="G46" s="222"/>
      <c r="H46" s="217"/>
      <c r="I46" s="143"/>
      <c r="J46" s="222"/>
      <c r="K46" s="222"/>
      <c r="L46" s="217"/>
      <c r="M46" s="143"/>
      <c r="N46" s="222"/>
      <c r="O46" s="215"/>
      <c r="P46" s="217"/>
      <c r="Q46" s="143"/>
      <c r="R46" s="222"/>
      <c r="S46" s="248"/>
      <c r="T46" s="222"/>
      <c r="U46" s="143"/>
      <c r="V46" s="222"/>
      <c r="W46" s="222"/>
      <c r="X46" s="222"/>
      <c r="Y46" s="143"/>
      <c r="Z46" s="222"/>
      <c r="AA46" s="222"/>
      <c r="AB46" s="222"/>
      <c r="AC46" s="143"/>
      <c r="AD46" s="222"/>
      <c r="AE46" s="222"/>
      <c r="AF46" s="222"/>
      <c r="AG46" s="222"/>
      <c r="AH46" s="346"/>
    </row>
    <row r="47" spans="1:51" ht="17.25" customHeight="1" x14ac:dyDescent="0.25">
      <c r="A47" s="88" t="s">
        <v>53</v>
      </c>
      <c r="B47" s="276"/>
      <c r="C47" s="344"/>
      <c r="D47" s="215"/>
      <c r="E47" s="145"/>
      <c r="F47" s="215"/>
      <c r="G47" s="69"/>
      <c r="H47" s="215"/>
      <c r="I47" s="145"/>
      <c r="J47" s="215"/>
      <c r="K47" s="215"/>
      <c r="L47" s="215"/>
      <c r="M47" s="145"/>
      <c r="N47" s="215"/>
      <c r="O47" s="215"/>
      <c r="P47" s="215"/>
      <c r="Q47" s="145"/>
      <c r="R47" s="215"/>
      <c r="S47" s="222"/>
      <c r="T47" s="198"/>
      <c r="U47" s="158"/>
      <c r="V47" s="198"/>
      <c r="W47" s="219"/>
      <c r="X47" s="219"/>
      <c r="Y47" s="347"/>
      <c r="Z47" s="198"/>
      <c r="AA47" s="219"/>
      <c r="AB47" s="219"/>
      <c r="AC47" s="148"/>
      <c r="AD47" s="198"/>
      <c r="AE47" s="219"/>
      <c r="AF47" s="219"/>
      <c r="AG47" s="212"/>
      <c r="AH47" s="348"/>
      <c r="AI47" s="4"/>
      <c r="AJ47" s="4"/>
    </row>
    <row r="48" spans="1:51" ht="17.25" customHeight="1" x14ac:dyDescent="0.25">
      <c r="A48" s="88" t="s">
        <v>86</v>
      </c>
      <c r="B48" s="276"/>
      <c r="C48" s="344"/>
      <c r="D48" s="242"/>
      <c r="E48" s="349"/>
      <c r="F48" s="242"/>
      <c r="G48" s="242"/>
      <c r="H48" s="242"/>
      <c r="I48" s="349"/>
      <c r="J48" s="242"/>
      <c r="K48" s="242"/>
      <c r="L48" s="242"/>
      <c r="M48" s="160"/>
      <c r="N48" s="242"/>
      <c r="O48" s="242"/>
      <c r="P48" s="242"/>
      <c r="Q48" s="349"/>
      <c r="R48" s="242"/>
      <c r="S48" s="257"/>
      <c r="T48" s="258"/>
      <c r="U48" s="160"/>
      <c r="V48" s="242"/>
      <c r="W48" s="257"/>
      <c r="X48" s="204"/>
      <c r="Y48" s="152"/>
      <c r="Z48" s="242"/>
      <c r="AA48" s="257"/>
      <c r="AB48" s="204"/>
      <c r="AC48" s="160"/>
      <c r="AD48" s="242"/>
      <c r="AE48" s="257"/>
      <c r="AF48" s="257"/>
      <c r="AG48" s="257"/>
      <c r="AH48" s="345"/>
      <c r="AI48" s="4"/>
      <c r="AJ48" s="4"/>
    </row>
    <row r="49" spans="1:36" ht="17.25" customHeight="1" x14ac:dyDescent="0.25">
      <c r="A49" s="88" t="s">
        <v>71</v>
      </c>
      <c r="B49" s="276"/>
      <c r="C49" s="350"/>
      <c r="D49" s="216"/>
      <c r="E49" s="142"/>
      <c r="F49" s="216"/>
      <c r="G49" s="216"/>
      <c r="H49" s="216"/>
      <c r="I49" s="142"/>
      <c r="J49" s="216"/>
      <c r="K49" s="216"/>
      <c r="L49" s="216"/>
      <c r="M49" s="142"/>
      <c r="N49" s="216"/>
      <c r="O49" s="216"/>
      <c r="P49" s="216"/>
      <c r="Q49" s="142"/>
      <c r="R49" s="216"/>
      <c r="S49" s="216"/>
      <c r="T49" s="351"/>
      <c r="U49" s="160"/>
      <c r="V49" s="242"/>
      <c r="W49" s="257"/>
      <c r="X49" s="204"/>
      <c r="Y49" s="152"/>
      <c r="Z49" s="242"/>
      <c r="AA49" s="257"/>
      <c r="AB49" s="204"/>
      <c r="AC49" s="160"/>
      <c r="AD49" s="242"/>
      <c r="AE49" s="257"/>
      <c r="AF49" s="257"/>
      <c r="AG49" s="257"/>
      <c r="AH49" s="345"/>
      <c r="AI49" s="4"/>
      <c r="AJ49" s="4"/>
    </row>
    <row r="50" spans="1:36" ht="17.25" customHeight="1" x14ac:dyDescent="0.25">
      <c r="A50" s="88" t="s">
        <v>73</v>
      </c>
      <c r="B50" s="276"/>
      <c r="C50" s="344"/>
      <c r="D50" s="198"/>
      <c r="E50" s="158"/>
      <c r="F50" s="198"/>
      <c r="G50" s="198"/>
      <c r="H50" s="198"/>
      <c r="I50" s="158"/>
      <c r="J50" s="198"/>
      <c r="K50" s="198"/>
      <c r="L50" s="198"/>
      <c r="M50" s="158"/>
      <c r="N50" s="198"/>
      <c r="O50" s="198"/>
      <c r="P50" s="198"/>
      <c r="Q50" s="158"/>
      <c r="R50" s="201"/>
      <c r="S50" s="229"/>
      <c r="T50" s="253"/>
      <c r="U50" s="156"/>
      <c r="V50" s="253"/>
      <c r="W50" s="204"/>
      <c r="X50" s="204"/>
      <c r="Y50" s="159"/>
      <c r="Z50" s="253"/>
      <c r="AA50" s="204"/>
      <c r="AB50" s="204"/>
      <c r="AC50" s="152"/>
      <c r="AD50" s="253"/>
      <c r="AE50" s="204"/>
      <c r="AF50" s="204"/>
      <c r="AG50" s="257"/>
      <c r="AH50" s="345"/>
      <c r="AI50" s="4"/>
      <c r="AJ50" s="4"/>
    </row>
    <row r="51" spans="1:36" ht="17.25" customHeight="1" x14ac:dyDescent="0.25">
      <c r="A51" s="88" t="s">
        <v>61</v>
      </c>
      <c r="B51" s="352"/>
      <c r="C51" s="353"/>
      <c r="D51" s="69"/>
      <c r="E51" s="143"/>
      <c r="F51" s="218"/>
      <c r="G51" s="218"/>
      <c r="H51" s="215"/>
      <c r="I51" s="143"/>
      <c r="J51" s="222"/>
      <c r="K51" s="218"/>
      <c r="L51" s="215"/>
      <c r="M51" s="145"/>
      <c r="N51" s="222"/>
      <c r="O51" s="215"/>
      <c r="P51" s="215"/>
      <c r="Q51" s="145"/>
      <c r="R51" s="222"/>
      <c r="S51" s="222"/>
      <c r="T51" s="215"/>
      <c r="U51" s="145"/>
      <c r="V51" s="222"/>
      <c r="W51" s="222"/>
      <c r="X51" s="215"/>
      <c r="Y51" s="145"/>
      <c r="Z51" s="222"/>
      <c r="AA51" s="222"/>
      <c r="AB51" s="215"/>
      <c r="AC51" s="145"/>
      <c r="AD51" s="222"/>
      <c r="AE51" s="222"/>
      <c r="AF51" s="215"/>
      <c r="AG51" s="216"/>
      <c r="AH51" s="343"/>
      <c r="AI51" s="4"/>
      <c r="AJ51" s="4"/>
    </row>
    <row r="52" spans="1:36" ht="17.25" customHeight="1" thickBot="1" x14ac:dyDescent="0.3">
      <c r="A52" s="93" t="s">
        <v>82</v>
      </c>
      <c r="B52" s="354"/>
      <c r="C52" s="355"/>
      <c r="D52" s="356"/>
      <c r="E52" s="176"/>
      <c r="F52" s="232"/>
      <c r="G52" s="232"/>
      <c r="H52" s="250"/>
      <c r="I52" s="176"/>
      <c r="J52" s="232"/>
      <c r="K52" s="232"/>
      <c r="L52" s="250"/>
      <c r="M52" s="157"/>
      <c r="N52" s="232"/>
      <c r="O52" s="232"/>
      <c r="P52" s="250"/>
      <c r="Q52" s="157"/>
      <c r="R52" s="232"/>
      <c r="S52" s="232"/>
      <c r="T52" s="250"/>
      <c r="U52" s="157"/>
      <c r="V52" s="232"/>
      <c r="W52" s="232"/>
      <c r="X52" s="250"/>
      <c r="Y52" s="157"/>
      <c r="Z52" s="232"/>
      <c r="AA52" s="232"/>
      <c r="AB52" s="250"/>
      <c r="AC52" s="157"/>
      <c r="AD52" s="232"/>
      <c r="AE52" s="232"/>
      <c r="AF52" s="250"/>
      <c r="AG52" s="259"/>
      <c r="AH52" s="357"/>
      <c r="AI52" s="4"/>
      <c r="AJ52" s="4" t="s">
        <v>37</v>
      </c>
    </row>
    <row r="53" spans="1:36" ht="17.25" customHeight="1" x14ac:dyDescent="0.25">
      <c r="A53" s="2"/>
      <c r="B53" s="55"/>
      <c r="C53" s="56"/>
      <c r="D53" s="79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54"/>
      <c r="V53" s="58"/>
      <c r="W53" s="54"/>
      <c r="X53" s="54"/>
      <c r="Y53" s="133"/>
      <c r="Z53" s="54"/>
      <c r="AA53" s="54"/>
      <c r="AB53" s="54"/>
      <c r="AC53" s="54"/>
      <c r="AD53" s="54"/>
      <c r="AE53" s="54"/>
      <c r="AF53" s="54"/>
      <c r="AG53" s="134"/>
      <c r="AH53" s="134"/>
    </row>
    <row r="54" spans="1:36" ht="17.25" customHeight="1" thickBot="1" x14ac:dyDescent="0.3">
      <c r="A54" s="2"/>
      <c r="B54" s="55"/>
      <c r="C54" s="56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4"/>
      <c r="V54" s="58"/>
      <c r="W54" s="54"/>
      <c r="X54" s="54"/>
      <c r="Y54" s="59"/>
      <c r="Z54" s="54"/>
      <c r="AA54" s="54"/>
      <c r="AB54" s="54"/>
      <c r="AC54" s="54"/>
      <c r="AD54" s="54"/>
      <c r="AE54" s="54"/>
      <c r="AF54" s="54"/>
      <c r="AH54" s="369"/>
    </row>
    <row r="55" spans="1:36" ht="17.25" customHeight="1" thickBot="1" x14ac:dyDescent="0.25">
      <c r="A55" s="1089" t="s">
        <v>35</v>
      </c>
      <c r="B55" s="1090"/>
      <c r="C55" s="1092"/>
      <c r="D55" s="1074"/>
      <c r="E55" s="1075"/>
      <c r="F55" s="1075"/>
      <c r="G55" s="1075"/>
      <c r="H55" s="1075"/>
      <c r="I55" s="1075"/>
      <c r="J55" s="1075"/>
      <c r="K55" s="1075"/>
      <c r="L55" s="1075"/>
      <c r="M55" s="1075"/>
      <c r="N55" s="1075"/>
      <c r="O55" s="1075"/>
      <c r="P55" s="1075"/>
      <c r="Q55" s="1075"/>
      <c r="R55" s="1075"/>
      <c r="S55" s="1075"/>
      <c r="T55" s="1075"/>
      <c r="U55" s="1075"/>
      <c r="V55" s="1075"/>
      <c r="W55" s="1075"/>
      <c r="X55" s="1075"/>
      <c r="Y55" s="1075"/>
      <c r="Z55" s="1075"/>
      <c r="AA55" s="1075"/>
      <c r="AB55" s="1075"/>
      <c r="AC55" s="1075"/>
      <c r="AD55" s="1075"/>
      <c r="AE55" s="1075"/>
      <c r="AF55" s="1075"/>
      <c r="AG55" s="1076"/>
    </row>
    <row r="56" spans="1:36" ht="17.25" customHeight="1" x14ac:dyDescent="0.2">
      <c r="A56" s="1077" t="s">
        <v>33</v>
      </c>
      <c r="B56" s="1078"/>
      <c r="C56" s="1079"/>
      <c r="D56" s="191" t="s">
        <v>3</v>
      </c>
      <c r="E56" s="125" t="s">
        <v>4</v>
      </c>
      <c r="F56" s="125" t="s">
        <v>4</v>
      </c>
      <c r="G56" s="125" t="s">
        <v>2</v>
      </c>
      <c r="H56" s="192" t="s">
        <v>2</v>
      </c>
      <c r="I56" s="84" t="s">
        <v>1</v>
      </c>
      <c r="J56" s="125" t="s">
        <v>2</v>
      </c>
      <c r="K56" s="125" t="s">
        <v>3</v>
      </c>
      <c r="L56" s="125" t="s">
        <v>4</v>
      </c>
      <c r="M56" s="125" t="s">
        <v>4</v>
      </c>
      <c r="N56" s="125" t="s">
        <v>2</v>
      </c>
      <c r="O56" s="192" t="s">
        <v>2</v>
      </c>
      <c r="P56" s="84" t="s">
        <v>1</v>
      </c>
      <c r="Q56" s="125" t="s">
        <v>2</v>
      </c>
      <c r="R56" s="125" t="s">
        <v>3</v>
      </c>
      <c r="S56" s="125" t="s">
        <v>4</v>
      </c>
      <c r="T56" s="125" t="s">
        <v>4</v>
      </c>
      <c r="U56" s="125" t="s">
        <v>2</v>
      </c>
      <c r="V56" s="192" t="s">
        <v>2</v>
      </c>
      <c r="W56" s="84" t="s">
        <v>1</v>
      </c>
      <c r="X56" s="125" t="s">
        <v>2</v>
      </c>
      <c r="Y56" s="125" t="s">
        <v>3</v>
      </c>
      <c r="Z56" s="125" t="s">
        <v>4</v>
      </c>
      <c r="AA56" s="125" t="s">
        <v>4</v>
      </c>
      <c r="AB56" s="125" t="s">
        <v>2</v>
      </c>
      <c r="AC56" s="192" t="s">
        <v>2</v>
      </c>
      <c r="AD56" s="84" t="s">
        <v>1</v>
      </c>
      <c r="AE56" s="125" t="s">
        <v>2</v>
      </c>
      <c r="AF56" s="193" t="s">
        <v>3</v>
      </c>
      <c r="AG56" s="193" t="s">
        <v>4</v>
      </c>
      <c r="AH56" s="195" t="s">
        <v>4</v>
      </c>
    </row>
    <row r="57" spans="1:36" ht="17.25" customHeight="1" thickBot="1" x14ac:dyDescent="0.25">
      <c r="A57" s="1080"/>
      <c r="B57" s="1081"/>
      <c r="C57" s="1082"/>
      <c r="D57" s="196">
        <v>1</v>
      </c>
      <c r="E57" s="126">
        <v>2</v>
      </c>
      <c r="F57" s="126">
        <v>3</v>
      </c>
      <c r="G57" s="126">
        <v>4</v>
      </c>
      <c r="H57" s="126">
        <v>5</v>
      </c>
      <c r="I57" s="126">
        <v>6</v>
      </c>
      <c r="J57" s="126">
        <v>7</v>
      </c>
      <c r="K57" s="126">
        <v>8</v>
      </c>
      <c r="L57" s="126">
        <v>9</v>
      </c>
      <c r="M57" s="126">
        <v>10</v>
      </c>
      <c r="N57" s="126">
        <v>11</v>
      </c>
      <c r="O57" s="126">
        <v>12</v>
      </c>
      <c r="P57" s="126">
        <v>13</v>
      </c>
      <c r="Q57" s="126">
        <v>14</v>
      </c>
      <c r="R57" s="126">
        <v>15</v>
      </c>
      <c r="S57" s="126">
        <v>16</v>
      </c>
      <c r="T57" s="126">
        <v>17</v>
      </c>
      <c r="U57" s="126">
        <v>18</v>
      </c>
      <c r="V57" s="126">
        <v>19</v>
      </c>
      <c r="W57" s="126">
        <v>20</v>
      </c>
      <c r="X57" s="126">
        <v>21</v>
      </c>
      <c r="Y57" s="126">
        <v>22</v>
      </c>
      <c r="Z57" s="126">
        <v>23</v>
      </c>
      <c r="AA57" s="126">
        <v>24</v>
      </c>
      <c r="AB57" s="126">
        <v>25</v>
      </c>
      <c r="AC57" s="126">
        <v>26</v>
      </c>
      <c r="AD57" s="126">
        <v>27</v>
      </c>
      <c r="AE57" s="126">
        <v>28</v>
      </c>
      <c r="AF57" s="126">
        <v>29</v>
      </c>
      <c r="AG57" s="136">
        <v>30</v>
      </c>
      <c r="AH57" s="197">
        <v>30</v>
      </c>
    </row>
    <row r="58" spans="1:36" ht="17.25" customHeight="1" x14ac:dyDescent="0.2">
      <c r="A58" s="1083" t="s">
        <v>36</v>
      </c>
      <c r="B58" s="1084"/>
      <c r="C58" s="1085"/>
      <c r="D58" s="185"/>
      <c r="E58" s="375"/>
      <c r="F58" s="376"/>
      <c r="G58" s="82"/>
      <c r="H58" s="82"/>
      <c r="I58" s="82"/>
      <c r="J58" s="375"/>
      <c r="K58" s="375"/>
      <c r="L58" s="82"/>
      <c r="M58" s="82"/>
      <c r="N58" s="375"/>
      <c r="O58" s="375"/>
      <c r="P58" s="375"/>
      <c r="Q58" s="82"/>
      <c r="R58" s="94"/>
      <c r="S58" s="375"/>
      <c r="T58" s="379"/>
      <c r="U58" s="130"/>
      <c r="V58" s="130"/>
      <c r="W58" s="130"/>
      <c r="X58" s="381"/>
      <c r="Y58" s="381"/>
      <c r="Z58" s="130"/>
      <c r="AA58" s="130"/>
      <c r="AB58" s="382"/>
      <c r="AC58" s="376"/>
      <c r="AD58" s="376"/>
      <c r="AE58" s="94"/>
      <c r="AF58" s="94"/>
      <c r="AG58" s="383"/>
      <c r="AH58" s="384"/>
    </row>
    <row r="59" spans="1:36" ht="17.25" customHeight="1" thickBot="1" x14ac:dyDescent="0.25">
      <c r="A59" s="1086" t="s">
        <v>76</v>
      </c>
      <c r="B59" s="1053"/>
      <c r="C59" s="1054"/>
      <c r="D59" s="374"/>
      <c r="E59" s="95"/>
      <c r="F59" s="95"/>
      <c r="G59" s="377"/>
      <c r="H59" s="377"/>
      <c r="I59" s="377"/>
      <c r="J59" s="95"/>
      <c r="K59" s="95"/>
      <c r="L59" s="377"/>
      <c r="M59" s="378"/>
      <c r="N59" s="95"/>
      <c r="O59" s="95"/>
      <c r="P59" s="95"/>
      <c r="Q59" s="377"/>
      <c r="R59" s="377"/>
      <c r="S59" s="95"/>
      <c r="T59" s="95"/>
      <c r="U59" s="377"/>
      <c r="V59" s="377"/>
      <c r="W59" s="380"/>
      <c r="X59" s="95"/>
      <c r="Y59" s="95"/>
      <c r="Z59" s="377"/>
      <c r="AA59" s="377"/>
      <c r="AB59" s="95"/>
      <c r="AC59" s="95"/>
      <c r="AD59" s="95"/>
      <c r="AE59" s="377"/>
      <c r="AF59" s="377"/>
      <c r="AG59" s="373"/>
      <c r="AH59" s="371"/>
    </row>
    <row r="60" spans="1:36" ht="14.25" customHeight="1" thickBot="1" x14ac:dyDescent="0.25">
      <c r="A60" s="63"/>
      <c r="B60" s="1087"/>
      <c r="C60" s="1087"/>
      <c r="D60" s="1088"/>
      <c r="E60" s="1088"/>
      <c r="F60" s="1088"/>
      <c r="G60" s="1088"/>
      <c r="H60" s="1088"/>
      <c r="I60" s="1088"/>
      <c r="J60" s="1088"/>
      <c r="K60" s="1088"/>
      <c r="L60" s="1088"/>
      <c r="M60" s="1088"/>
      <c r="N60" s="1088"/>
      <c r="O60" s="1088"/>
      <c r="P60" s="1088"/>
      <c r="Q60" s="1088"/>
      <c r="R60" s="1088"/>
      <c r="S60" s="1088"/>
      <c r="T60" s="1088"/>
      <c r="U60" s="1088"/>
      <c r="V60" s="1088"/>
      <c r="W60" s="1088"/>
      <c r="X60" s="1088"/>
      <c r="Y60" s="1088"/>
      <c r="Z60" s="1088"/>
      <c r="AA60" s="1088"/>
      <c r="AB60" s="1088"/>
      <c r="AC60" s="1088"/>
      <c r="AD60" s="1088"/>
      <c r="AE60" s="1088"/>
      <c r="AF60" s="1088"/>
      <c r="AG60" s="137"/>
      <c r="AH60" s="370"/>
    </row>
    <row r="61" spans="1:36" ht="17.25" customHeight="1" thickBot="1" x14ac:dyDescent="0.25">
      <c r="A61" s="1089" t="s">
        <v>16</v>
      </c>
      <c r="B61" s="1090"/>
      <c r="C61" s="1091"/>
      <c r="D61" s="1074"/>
      <c r="E61" s="1075"/>
      <c r="F61" s="1075"/>
      <c r="G61" s="1075"/>
      <c r="H61" s="1075"/>
      <c r="I61" s="1075"/>
      <c r="J61" s="1075"/>
      <c r="K61" s="1075"/>
      <c r="L61" s="1075"/>
      <c r="M61" s="1075"/>
      <c r="N61" s="1075"/>
      <c r="O61" s="1075"/>
      <c r="P61" s="1075"/>
      <c r="Q61" s="1075"/>
      <c r="R61" s="1075"/>
      <c r="S61" s="1075"/>
      <c r="T61" s="1075"/>
      <c r="U61" s="1075"/>
      <c r="V61" s="1075"/>
      <c r="W61" s="1075"/>
      <c r="X61" s="1075"/>
      <c r="Y61" s="1075"/>
      <c r="Z61" s="1075"/>
      <c r="AA61" s="1075"/>
      <c r="AB61" s="1075"/>
      <c r="AC61" s="1075"/>
      <c r="AD61" s="1075"/>
      <c r="AE61" s="1075"/>
      <c r="AF61" s="1075"/>
      <c r="AG61" s="1076"/>
    </row>
    <row r="62" spans="1:36" ht="17.25" customHeight="1" x14ac:dyDescent="0.2">
      <c r="A62" s="1093" t="s">
        <v>7</v>
      </c>
      <c r="B62" s="1095" t="s">
        <v>106</v>
      </c>
      <c r="C62" s="1096"/>
      <c r="D62" s="191" t="s">
        <v>3</v>
      </c>
      <c r="E62" s="125" t="s">
        <v>4</v>
      </c>
      <c r="F62" s="125" t="s">
        <v>4</v>
      </c>
      <c r="G62" s="125" t="s">
        <v>2</v>
      </c>
      <c r="H62" s="192" t="s">
        <v>2</v>
      </c>
      <c r="I62" s="84" t="s">
        <v>1</v>
      </c>
      <c r="J62" s="125" t="s">
        <v>2</v>
      </c>
      <c r="K62" s="125" t="s">
        <v>3</v>
      </c>
      <c r="L62" s="125" t="s">
        <v>4</v>
      </c>
      <c r="M62" s="125" t="s">
        <v>4</v>
      </c>
      <c r="N62" s="125" t="s">
        <v>2</v>
      </c>
      <c r="O62" s="192" t="s">
        <v>2</v>
      </c>
      <c r="P62" s="84" t="s">
        <v>1</v>
      </c>
      <c r="Q62" s="125" t="s">
        <v>2</v>
      </c>
      <c r="R62" s="125" t="s">
        <v>3</v>
      </c>
      <c r="S62" s="125" t="s">
        <v>4</v>
      </c>
      <c r="T62" s="125" t="s">
        <v>4</v>
      </c>
      <c r="U62" s="125" t="s">
        <v>2</v>
      </c>
      <c r="V62" s="192" t="s">
        <v>2</v>
      </c>
      <c r="W62" s="84" t="s">
        <v>1</v>
      </c>
      <c r="X62" s="125" t="s">
        <v>2</v>
      </c>
      <c r="Y62" s="125" t="s">
        <v>3</v>
      </c>
      <c r="Z62" s="125" t="s">
        <v>4</v>
      </c>
      <c r="AA62" s="125" t="s">
        <v>4</v>
      </c>
      <c r="AB62" s="125" t="s">
        <v>2</v>
      </c>
      <c r="AC62" s="192" t="s">
        <v>2</v>
      </c>
      <c r="AD62" s="84" t="s">
        <v>1</v>
      </c>
      <c r="AE62" s="125" t="s">
        <v>2</v>
      </c>
      <c r="AF62" s="193" t="s">
        <v>3</v>
      </c>
      <c r="AG62" s="193" t="s">
        <v>4</v>
      </c>
      <c r="AH62" s="195" t="s">
        <v>4</v>
      </c>
    </row>
    <row r="63" spans="1:36" ht="17.25" customHeight="1" thickBot="1" x14ac:dyDescent="0.25">
      <c r="A63" s="1094"/>
      <c r="B63" s="1097"/>
      <c r="C63" s="1098"/>
      <c r="D63" s="196">
        <v>1</v>
      </c>
      <c r="E63" s="126">
        <v>2</v>
      </c>
      <c r="F63" s="126">
        <v>3</v>
      </c>
      <c r="G63" s="126">
        <v>4</v>
      </c>
      <c r="H63" s="126">
        <v>5</v>
      </c>
      <c r="I63" s="126">
        <v>6</v>
      </c>
      <c r="J63" s="126">
        <v>7</v>
      </c>
      <c r="K63" s="126">
        <v>8</v>
      </c>
      <c r="L63" s="126">
        <v>9</v>
      </c>
      <c r="M63" s="126">
        <v>10</v>
      </c>
      <c r="N63" s="126">
        <v>11</v>
      </c>
      <c r="O63" s="126">
        <v>12</v>
      </c>
      <c r="P63" s="126">
        <v>13</v>
      </c>
      <c r="Q63" s="126">
        <v>14</v>
      </c>
      <c r="R63" s="126">
        <v>15</v>
      </c>
      <c r="S63" s="126">
        <v>16</v>
      </c>
      <c r="T63" s="126">
        <v>17</v>
      </c>
      <c r="U63" s="126">
        <v>18</v>
      </c>
      <c r="V63" s="126">
        <v>19</v>
      </c>
      <c r="W63" s="126">
        <v>20</v>
      </c>
      <c r="X63" s="126">
        <v>21</v>
      </c>
      <c r="Y63" s="126">
        <v>22</v>
      </c>
      <c r="Z63" s="126">
        <v>23</v>
      </c>
      <c r="AA63" s="126">
        <v>24</v>
      </c>
      <c r="AB63" s="126">
        <v>25</v>
      </c>
      <c r="AC63" s="126">
        <v>26</v>
      </c>
      <c r="AD63" s="126">
        <v>27</v>
      </c>
      <c r="AE63" s="126">
        <v>28</v>
      </c>
      <c r="AF63" s="126">
        <v>29</v>
      </c>
      <c r="AG63" s="136">
        <v>30</v>
      </c>
      <c r="AH63" s="197">
        <v>30</v>
      </c>
    </row>
    <row r="64" spans="1:36" ht="17.25" customHeight="1" x14ac:dyDescent="0.2">
      <c r="A64" s="62" t="s">
        <v>38</v>
      </c>
      <c r="B64" s="1047" t="s">
        <v>32</v>
      </c>
      <c r="C64" s="1048"/>
      <c r="D64" s="101"/>
      <c r="E64" s="102"/>
      <c r="F64" s="102"/>
      <c r="G64" s="102"/>
      <c r="H64" s="102"/>
      <c r="I64" s="102"/>
      <c r="J64" s="102"/>
      <c r="K64" s="102"/>
      <c r="L64" s="102"/>
      <c r="M64" s="102"/>
      <c r="N64" s="102"/>
      <c r="O64" s="102"/>
      <c r="P64" s="104"/>
      <c r="Q64" s="104"/>
      <c r="R64" s="359"/>
      <c r="S64" s="106"/>
      <c r="T64" s="162"/>
      <c r="U64" s="106"/>
      <c r="V64" s="106"/>
      <c r="W64" s="106"/>
      <c r="X64" s="106"/>
      <c r="Y64" s="106"/>
      <c r="Z64" s="106"/>
      <c r="AA64" s="106"/>
      <c r="AB64" s="106"/>
      <c r="AC64" s="106"/>
      <c r="AD64" s="106"/>
      <c r="AE64" s="106"/>
      <c r="AF64" s="106"/>
      <c r="AG64" s="127"/>
      <c r="AH64" s="368"/>
    </row>
    <row r="65" spans="1:34" ht="18" customHeight="1" x14ac:dyDescent="0.2">
      <c r="A65" s="61" t="s">
        <v>13</v>
      </c>
      <c r="B65" s="1050"/>
      <c r="C65" s="1057"/>
      <c r="D65" s="108"/>
      <c r="E65" s="102"/>
      <c r="F65" s="102"/>
      <c r="G65" s="102"/>
      <c r="H65" s="102"/>
      <c r="I65" s="102"/>
      <c r="J65" s="102"/>
      <c r="K65" s="102"/>
      <c r="L65" s="102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27"/>
      <c r="AH65" s="252"/>
    </row>
    <row r="66" spans="1:34" ht="18" customHeight="1" x14ac:dyDescent="0.2">
      <c r="A66" s="60" t="s">
        <v>74</v>
      </c>
      <c r="B66" s="189"/>
      <c r="C66" s="190"/>
      <c r="D66" s="109"/>
      <c r="E66" s="102"/>
      <c r="F66" s="102"/>
      <c r="G66" s="102"/>
      <c r="H66" s="102"/>
      <c r="I66" s="102"/>
      <c r="J66" s="102"/>
      <c r="K66" s="102"/>
      <c r="L66" s="102"/>
      <c r="M66" s="110"/>
      <c r="N66" s="110"/>
      <c r="O66" s="110"/>
      <c r="P66" s="110"/>
      <c r="Q66" s="110"/>
      <c r="R66" s="100"/>
      <c r="S66" s="110"/>
      <c r="T66" s="111"/>
      <c r="U66" s="111"/>
      <c r="V66" s="111"/>
      <c r="W66" s="111"/>
      <c r="X66" s="111"/>
      <c r="Y66" s="111"/>
      <c r="Z66" s="161"/>
      <c r="AA66" s="161"/>
      <c r="AB66" s="112"/>
      <c r="AC66" s="111"/>
      <c r="AD66" s="111"/>
      <c r="AE66" s="111"/>
      <c r="AF66" s="112"/>
      <c r="AG66" s="127"/>
      <c r="AH66" s="252"/>
    </row>
    <row r="67" spans="1:34" ht="18" customHeight="1" thickBot="1" x14ac:dyDescent="0.25">
      <c r="A67" s="75" t="s">
        <v>87</v>
      </c>
      <c r="B67" s="1058"/>
      <c r="C67" s="1059"/>
      <c r="D67" s="113"/>
      <c r="E67" s="122"/>
      <c r="F67" s="122"/>
      <c r="G67" s="122"/>
      <c r="H67" s="122"/>
      <c r="I67" s="122"/>
      <c r="J67" s="122"/>
      <c r="K67" s="122"/>
      <c r="L67" s="122"/>
      <c r="M67" s="114"/>
      <c r="N67" s="114"/>
      <c r="O67" s="114"/>
      <c r="P67" s="114"/>
      <c r="Q67" s="114"/>
      <c r="R67" s="114"/>
      <c r="S67" s="114"/>
      <c r="T67" s="115"/>
      <c r="U67" s="115"/>
      <c r="V67" s="115"/>
      <c r="W67" s="115"/>
      <c r="X67" s="115"/>
      <c r="Y67" s="115"/>
      <c r="Z67" s="116"/>
      <c r="AA67" s="116"/>
      <c r="AB67" s="117"/>
      <c r="AC67" s="115"/>
      <c r="AD67" s="115"/>
      <c r="AE67" s="115"/>
      <c r="AF67" s="117"/>
      <c r="AG67" s="128"/>
      <c r="AH67" s="252"/>
    </row>
    <row r="68" spans="1:34" ht="17.25" customHeight="1" x14ac:dyDescent="0.2">
      <c r="A68" s="1068" t="s">
        <v>8</v>
      </c>
      <c r="B68" s="1070" t="s">
        <v>106</v>
      </c>
      <c r="C68" s="1071"/>
      <c r="D68" s="191" t="s">
        <v>3</v>
      </c>
      <c r="E68" s="125" t="s">
        <v>4</v>
      </c>
      <c r="F68" s="125" t="s">
        <v>4</v>
      </c>
      <c r="G68" s="125" t="s">
        <v>2</v>
      </c>
      <c r="H68" s="192" t="s">
        <v>2</v>
      </c>
      <c r="I68" s="84" t="s">
        <v>1</v>
      </c>
      <c r="J68" s="125" t="s">
        <v>2</v>
      </c>
      <c r="K68" s="125" t="s">
        <v>3</v>
      </c>
      <c r="L68" s="125" t="s">
        <v>4</v>
      </c>
      <c r="M68" s="125" t="s">
        <v>4</v>
      </c>
      <c r="N68" s="125" t="s">
        <v>2</v>
      </c>
      <c r="O68" s="192" t="s">
        <v>2</v>
      </c>
      <c r="P68" s="84" t="s">
        <v>1</v>
      </c>
      <c r="Q68" s="125" t="s">
        <v>2</v>
      </c>
      <c r="R68" s="125" t="s">
        <v>3</v>
      </c>
      <c r="S68" s="125" t="s">
        <v>4</v>
      </c>
      <c r="T68" s="125" t="s">
        <v>4</v>
      </c>
      <c r="U68" s="125" t="s">
        <v>2</v>
      </c>
      <c r="V68" s="192" t="s">
        <v>2</v>
      </c>
      <c r="W68" s="84" t="s">
        <v>1</v>
      </c>
      <c r="X68" s="125" t="s">
        <v>2</v>
      </c>
      <c r="Y68" s="125" t="s">
        <v>3</v>
      </c>
      <c r="Z68" s="125" t="s">
        <v>4</v>
      </c>
      <c r="AA68" s="125" t="s">
        <v>4</v>
      </c>
      <c r="AB68" s="125" t="s">
        <v>2</v>
      </c>
      <c r="AC68" s="192" t="s">
        <v>2</v>
      </c>
      <c r="AD68" s="84" t="s">
        <v>1</v>
      </c>
      <c r="AE68" s="125" t="s">
        <v>2</v>
      </c>
      <c r="AF68" s="193" t="s">
        <v>3</v>
      </c>
      <c r="AG68" s="193" t="s">
        <v>4</v>
      </c>
      <c r="AH68" s="195" t="s">
        <v>4</v>
      </c>
    </row>
    <row r="69" spans="1:34" ht="17.25" customHeight="1" thickBot="1" x14ac:dyDescent="0.25">
      <c r="A69" s="1069"/>
      <c r="B69" s="1072"/>
      <c r="C69" s="1073"/>
      <c r="D69" s="196">
        <v>1</v>
      </c>
      <c r="E69" s="126">
        <v>2</v>
      </c>
      <c r="F69" s="126">
        <v>3</v>
      </c>
      <c r="G69" s="126">
        <v>4</v>
      </c>
      <c r="H69" s="126">
        <v>5</v>
      </c>
      <c r="I69" s="126">
        <v>6</v>
      </c>
      <c r="J69" s="126">
        <v>7</v>
      </c>
      <c r="K69" s="126">
        <v>8</v>
      </c>
      <c r="L69" s="126">
        <v>9</v>
      </c>
      <c r="M69" s="126">
        <v>10</v>
      </c>
      <c r="N69" s="126">
        <v>11</v>
      </c>
      <c r="O69" s="126">
        <v>12</v>
      </c>
      <c r="P69" s="126">
        <v>13</v>
      </c>
      <c r="Q69" s="126">
        <v>14</v>
      </c>
      <c r="R69" s="126">
        <v>15</v>
      </c>
      <c r="S69" s="126">
        <v>16</v>
      </c>
      <c r="T69" s="126">
        <v>17</v>
      </c>
      <c r="U69" s="126">
        <v>18</v>
      </c>
      <c r="V69" s="126">
        <v>19</v>
      </c>
      <c r="W69" s="126">
        <v>20</v>
      </c>
      <c r="X69" s="126">
        <v>21</v>
      </c>
      <c r="Y69" s="126">
        <v>22</v>
      </c>
      <c r="Z69" s="126">
        <v>23</v>
      </c>
      <c r="AA69" s="126">
        <v>24</v>
      </c>
      <c r="AB69" s="126">
        <v>25</v>
      </c>
      <c r="AC69" s="126">
        <v>26</v>
      </c>
      <c r="AD69" s="126">
        <v>27</v>
      </c>
      <c r="AE69" s="126">
        <v>28</v>
      </c>
      <c r="AF69" s="126">
        <v>29</v>
      </c>
      <c r="AG69" s="136">
        <v>30</v>
      </c>
      <c r="AH69" s="197">
        <v>30</v>
      </c>
    </row>
    <row r="70" spans="1:34" ht="15.75" customHeight="1" x14ac:dyDescent="0.2">
      <c r="A70" s="61" t="s">
        <v>75</v>
      </c>
      <c r="B70" s="1047" t="s">
        <v>32</v>
      </c>
      <c r="C70" s="1048"/>
      <c r="D70" s="101"/>
      <c r="E70" s="102"/>
      <c r="F70" s="102"/>
      <c r="G70" s="102"/>
      <c r="H70" s="120"/>
      <c r="I70" s="120"/>
      <c r="J70" s="120"/>
      <c r="K70" s="120"/>
      <c r="L70" s="120"/>
      <c r="M70" s="120"/>
      <c r="N70" s="120"/>
      <c r="O70" s="120"/>
      <c r="P70" s="120"/>
      <c r="Q70" s="119"/>
      <c r="R70" s="119"/>
      <c r="S70" s="112"/>
      <c r="T70" s="360"/>
      <c r="U70" s="118"/>
      <c r="V70" s="118"/>
      <c r="W70" s="118"/>
      <c r="X70" s="118"/>
      <c r="Y70" s="118"/>
      <c r="Z70" s="118"/>
      <c r="AA70" s="118"/>
      <c r="AB70" s="118"/>
      <c r="AC70" s="118"/>
      <c r="AD70" s="118"/>
      <c r="AE70" s="118"/>
      <c r="AF70" s="118"/>
      <c r="AG70" s="127"/>
      <c r="AH70" s="368"/>
    </row>
    <row r="71" spans="1:34" ht="15.75" customHeight="1" x14ac:dyDescent="0.2">
      <c r="A71" s="61" t="s">
        <v>88</v>
      </c>
      <c r="B71" s="1049"/>
      <c r="C71" s="1050"/>
      <c r="D71" s="101"/>
      <c r="E71" s="102"/>
      <c r="F71" s="102"/>
      <c r="G71" s="102"/>
      <c r="H71" s="107"/>
      <c r="I71" s="107"/>
      <c r="J71" s="107"/>
      <c r="K71" s="107"/>
      <c r="L71" s="107"/>
      <c r="M71" s="107"/>
      <c r="N71" s="107"/>
      <c r="O71" s="107"/>
      <c r="P71" s="120"/>
      <c r="Q71" s="104"/>
      <c r="R71" s="104"/>
      <c r="S71" s="104"/>
      <c r="T71" s="361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7"/>
      <c r="AF71" s="104"/>
      <c r="AG71" s="127"/>
      <c r="AH71" s="225"/>
    </row>
    <row r="72" spans="1:34" ht="15.75" customHeight="1" x14ac:dyDescent="0.2">
      <c r="A72" s="98" t="s">
        <v>89</v>
      </c>
      <c r="B72" s="1051"/>
      <c r="C72" s="1052"/>
      <c r="D72" s="101"/>
      <c r="E72" s="102"/>
      <c r="F72" s="102"/>
      <c r="G72" s="102"/>
      <c r="H72" s="120"/>
      <c r="I72" s="120"/>
      <c r="J72" s="120"/>
      <c r="K72" s="120"/>
      <c r="L72" s="120"/>
      <c r="M72" s="120"/>
      <c r="N72" s="120"/>
      <c r="O72" s="119"/>
      <c r="P72" s="119"/>
      <c r="Q72" s="119"/>
      <c r="R72" s="119"/>
      <c r="S72" s="112"/>
      <c r="T72" s="112"/>
      <c r="U72" s="112"/>
      <c r="V72" s="112"/>
      <c r="W72" s="112"/>
      <c r="X72" s="112"/>
      <c r="Y72" s="112"/>
      <c r="Z72" s="112"/>
      <c r="AA72" s="112"/>
      <c r="AB72" s="112"/>
      <c r="AC72" s="112"/>
      <c r="AD72" s="112"/>
      <c r="AE72" s="64"/>
      <c r="AF72" s="112"/>
      <c r="AG72" s="127"/>
      <c r="AH72" s="225"/>
    </row>
    <row r="73" spans="1:34" ht="15.75" customHeight="1" thickBot="1" x14ac:dyDescent="0.25">
      <c r="A73" s="75" t="s">
        <v>69</v>
      </c>
      <c r="B73" s="1053"/>
      <c r="C73" s="1054"/>
      <c r="D73" s="358"/>
      <c r="E73" s="122"/>
      <c r="F73" s="168"/>
      <c r="G73" s="168"/>
      <c r="H73" s="114"/>
      <c r="I73" s="114"/>
      <c r="J73" s="114"/>
      <c r="K73" s="114"/>
      <c r="L73" s="114"/>
      <c r="M73" s="114"/>
      <c r="N73" s="114"/>
      <c r="O73" s="168"/>
      <c r="P73" s="114"/>
      <c r="Q73" s="114"/>
      <c r="R73" s="114"/>
      <c r="S73" s="114"/>
      <c r="T73" s="115"/>
      <c r="U73" s="115"/>
      <c r="V73" s="115"/>
      <c r="W73" s="114"/>
      <c r="X73" s="115"/>
      <c r="Y73" s="115"/>
      <c r="Z73" s="115"/>
      <c r="AA73" s="115"/>
      <c r="AB73" s="115"/>
      <c r="AC73" s="115"/>
      <c r="AD73" s="115"/>
      <c r="AE73" s="115"/>
      <c r="AF73" s="117"/>
      <c r="AG73" s="128"/>
      <c r="AH73" s="225"/>
    </row>
    <row r="74" spans="1:34" x14ac:dyDescent="0.2">
      <c r="A74" s="1062" t="s">
        <v>5</v>
      </c>
      <c r="B74" s="1064" t="s">
        <v>106</v>
      </c>
      <c r="C74" s="1065"/>
      <c r="D74" s="191" t="s">
        <v>3</v>
      </c>
      <c r="E74" s="125" t="s">
        <v>4</v>
      </c>
      <c r="F74" s="125" t="s">
        <v>4</v>
      </c>
      <c r="G74" s="125" t="s">
        <v>2</v>
      </c>
      <c r="H74" s="192" t="s">
        <v>2</v>
      </c>
      <c r="I74" s="84" t="s">
        <v>1</v>
      </c>
      <c r="J74" s="125" t="s">
        <v>2</v>
      </c>
      <c r="K74" s="125" t="s">
        <v>3</v>
      </c>
      <c r="L74" s="125" t="s">
        <v>4</v>
      </c>
      <c r="M74" s="125" t="s">
        <v>4</v>
      </c>
      <c r="N74" s="125" t="s">
        <v>2</v>
      </c>
      <c r="O74" s="192" t="s">
        <v>2</v>
      </c>
      <c r="P74" s="84" t="s">
        <v>1</v>
      </c>
      <c r="Q74" s="125" t="s">
        <v>2</v>
      </c>
      <c r="R74" s="125" t="s">
        <v>3</v>
      </c>
      <c r="S74" s="125" t="s">
        <v>4</v>
      </c>
      <c r="T74" s="125" t="s">
        <v>4</v>
      </c>
      <c r="U74" s="125" t="s">
        <v>2</v>
      </c>
      <c r="V74" s="192" t="s">
        <v>2</v>
      </c>
      <c r="W74" s="84" t="s">
        <v>1</v>
      </c>
      <c r="X74" s="125" t="s">
        <v>2</v>
      </c>
      <c r="Y74" s="125" t="s">
        <v>3</v>
      </c>
      <c r="Z74" s="125" t="s">
        <v>4</v>
      </c>
      <c r="AA74" s="125" t="s">
        <v>4</v>
      </c>
      <c r="AB74" s="125" t="s">
        <v>2</v>
      </c>
      <c r="AC74" s="192" t="s">
        <v>2</v>
      </c>
      <c r="AD74" s="84" t="s">
        <v>1</v>
      </c>
      <c r="AE74" s="125" t="s">
        <v>2</v>
      </c>
      <c r="AF74" s="193" t="s">
        <v>3</v>
      </c>
      <c r="AG74" s="193" t="s">
        <v>4</v>
      </c>
      <c r="AH74" s="195" t="s">
        <v>4</v>
      </c>
    </row>
    <row r="75" spans="1:34" ht="13.5" thickBot="1" x14ac:dyDescent="0.25">
      <c r="A75" s="1063"/>
      <c r="B75" s="1066"/>
      <c r="C75" s="1067"/>
      <c r="D75" s="196">
        <v>1</v>
      </c>
      <c r="E75" s="126">
        <v>2</v>
      </c>
      <c r="F75" s="126">
        <v>3</v>
      </c>
      <c r="G75" s="126">
        <v>4</v>
      </c>
      <c r="H75" s="126">
        <v>5</v>
      </c>
      <c r="I75" s="126">
        <v>6</v>
      </c>
      <c r="J75" s="126">
        <v>7</v>
      </c>
      <c r="K75" s="126">
        <v>8</v>
      </c>
      <c r="L75" s="126">
        <v>9</v>
      </c>
      <c r="M75" s="126">
        <v>10</v>
      </c>
      <c r="N75" s="126">
        <v>11</v>
      </c>
      <c r="O75" s="126">
        <v>12</v>
      </c>
      <c r="P75" s="126">
        <v>13</v>
      </c>
      <c r="Q75" s="126">
        <v>14</v>
      </c>
      <c r="R75" s="126">
        <v>15</v>
      </c>
      <c r="S75" s="126">
        <v>16</v>
      </c>
      <c r="T75" s="126">
        <v>17</v>
      </c>
      <c r="U75" s="126">
        <v>18</v>
      </c>
      <c r="V75" s="126">
        <v>19</v>
      </c>
      <c r="W75" s="126">
        <v>20</v>
      </c>
      <c r="X75" s="126">
        <v>21</v>
      </c>
      <c r="Y75" s="126">
        <v>22</v>
      </c>
      <c r="Z75" s="126">
        <v>23</v>
      </c>
      <c r="AA75" s="126">
        <v>24</v>
      </c>
      <c r="AB75" s="126">
        <v>25</v>
      </c>
      <c r="AC75" s="126">
        <v>26</v>
      </c>
      <c r="AD75" s="126">
        <v>27</v>
      </c>
      <c r="AE75" s="126">
        <v>28</v>
      </c>
      <c r="AF75" s="126">
        <v>29</v>
      </c>
      <c r="AG75" s="136">
        <v>30</v>
      </c>
      <c r="AH75" s="197">
        <v>30</v>
      </c>
    </row>
    <row r="76" spans="1:34" x14ac:dyDescent="0.2">
      <c r="A76" s="62" t="s">
        <v>58</v>
      </c>
      <c r="B76" s="1047" t="s">
        <v>32</v>
      </c>
      <c r="C76" s="1048"/>
      <c r="D76" s="101"/>
      <c r="E76" s="102"/>
      <c r="F76" s="102"/>
      <c r="G76" s="102"/>
      <c r="H76" s="102"/>
      <c r="I76" s="102"/>
      <c r="J76" s="102"/>
      <c r="K76" s="102"/>
      <c r="L76" s="103"/>
      <c r="M76" s="102"/>
      <c r="N76" s="102"/>
      <c r="O76" s="102"/>
      <c r="P76" s="104"/>
      <c r="Q76" s="104"/>
      <c r="R76" s="359"/>
      <c r="S76" s="106"/>
      <c r="T76" s="162"/>
      <c r="U76" s="106"/>
      <c r="V76" s="106"/>
      <c r="W76" s="106"/>
      <c r="X76" s="106"/>
      <c r="Y76" s="106"/>
      <c r="Z76" s="106"/>
      <c r="AA76" s="106"/>
      <c r="AB76" s="106"/>
      <c r="AC76" s="106"/>
      <c r="AD76" s="106"/>
      <c r="AE76" s="106"/>
      <c r="AF76" s="106"/>
      <c r="AG76" s="127"/>
      <c r="AH76" s="255"/>
    </row>
    <row r="77" spans="1:34" x14ac:dyDescent="0.2">
      <c r="A77" s="61" t="s">
        <v>59</v>
      </c>
      <c r="B77" s="1050"/>
      <c r="C77" s="1057"/>
      <c r="D77" s="108"/>
      <c r="E77" s="107"/>
      <c r="F77" s="102"/>
      <c r="G77" s="102"/>
      <c r="H77" s="107"/>
      <c r="I77" s="102"/>
      <c r="J77" s="107"/>
      <c r="K77" s="107"/>
      <c r="L77" s="107"/>
      <c r="M77" s="107"/>
      <c r="N77" s="107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27"/>
      <c r="AH77" s="252"/>
    </row>
    <row r="78" spans="1:34" x14ac:dyDescent="0.2">
      <c r="A78" s="60" t="s">
        <v>90</v>
      </c>
      <c r="B78" s="189"/>
      <c r="C78" s="190"/>
      <c r="D78" s="109"/>
      <c r="E78" s="110"/>
      <c r="F78" s="102"/>
      <c r="G78" s="102"/>
      <c r="H78" s="110"/>
      <c r="I78" s="102"/>
      <c r="J78" s="110"/>
      <c r="K78" s="110"/>
      <c r="L78" s="110"/>
      <c r="M78" s="110"/>
      <c r="N78" s="110"/>
      <c r="O78" s="110"/>
      <c r="P78" s="110"/>
      <c r="Q78" s="110"/>
      <c r="R78" s="100"/>
      <c r="S78" s="110"/>
      <c r="T78" s="111"/>
      <c r="U78" s="111"/>
      <c r="V78" s="111"/>
      <c r="W78" s="111"/>
      <c r="X78" s="111"/>
      <c r="Y78" s="111"/>
      <c r="Z78" s="161"/>
      <c r="AA78" s="161"/>
      <c r="AB78" s="112"/>
      <c r="AC78" s="111"/>
      <c r="AD78" s="111"/>
      <c r="AE78" s="111"/>
      <c r="AF78" s="112"/>
      <c r="AG78" s="127"/>
      <c r="AH78" s="252"/>
    </row>
    <row r="79" spans="1:34" ht="16.5" customHeight="1" thickBot="1" x14ac:dyDescent="0.25">
      <c r="A79" s="75" t="s">
        <v>91</v>
      </c>
      <c r="B79" s="1058"/>
      <c r="C79" s="1059"/>
      <c r="D79" s="113"/>
      <c r="E79" s="114"/>
      <c r="F79" s="122"/>
      <c r="G79" s="122"/>
      <c r="H79" s="114"/>
      <c r="I79" s="114"/>
      <c r="J79" s="114"/>
      <c r="K79" s="114"/>
      <c r="L79" s="114"/>
      <c r="M79" s="114"/>
      <c r="N79" s="114"/>
      <c r="O79" s="114"/>
      <c r="P79" s="114"/>
      <c r="Q79" s="114"/>
      <c r="R79" s="114"/>
      <c r="S79" s="114"/>
      <c r="T79" s="115"/>
      <c r="U79" s="115"/>
      <c r="V79" s="115"/>
      <c r="W79" s="115"/>
      <c r="X79" s="115"/>
      <c r="Y79" s="115"/>
      <c r="Z79" s="116"/>
      <c r="AA79" s="116"/>
      <c r="AB79" s="117"/>
      <c r="AC79" s="115"/>
      <c r="AD79" s="115"/>
      <c r="AE79" s="115"/>
      <c r="AF79" s="117"/>
      <c r="AG79" s="128"/>
      <c r="AH79" s="225"/>
    </row>
    <row r="80" spans="1:34" ht="15.75" customHeight="1" x14ac:dyDescent="0.2">
      <c r="A80" s="1041" t="s">
        <v>6</v>
      </c>
      <c r="B80" s="1043" t="s">
        <v>106</v>
      </c>
      <c r="C80" s="1044"/>
      <c r="D80" s="191" t="s">
        <v>3</v>
      </c>
      <c r="E80" s="125" t="s">
        <v>4</v>
      </c>
      <c r="F80" s="125" t="s">
        <v>4</v>
      </c>
      <c r="G80" s="125" t="s">
        <v>2</v>
      </c>
      <c r="H80" s="192" t="s">
        <v>2</v>
      </c>
      <c r="I80" s="84" t="s">
        <v>1</v>
      </c>
      <c r="J80" s="125" t="s">
        <v>2</v>
      </c>
      <c r="K80" s="125" t="s">
        <v>3</v>
      </c>
      <c r="L80" s="125" t="s">
        <v>4</v>
      </c>
      <c r="M80" s="125" t="s">
        <v>4</v>
      </c>
      <c r="N80" s="125" t="s">
        <v>2</v>
      </c>
      <c r="O80" s="192" t="s">
        <v>2</v>
      </c>
      <c r="P80" s="84" t="s">
        <v>1</v>
      </c>
      <c r="Q80" s="125" t="s">
        <v>2</v>
      </c>
      <c r="R80" s="125" t="s">
        <v>3</v>
      </c>
      <c r="S80" s="125" t="s">
        <v>4</v>
      </c>
      <c r="T80" s="125" t="s">
        <v>4</v>
      </c>
      <c r="U80" s="125" t="s">
        <v>2</v>
      </c>
      <c r="V80" s="192" t="s">
        <v>2</v>
      </c>
      <c r="W80" s="84" t="s">
        <v>1</v>
      </c>
      <c r="X80" s="125" t="s">
        <v>2</v>
      </c>
      <c r="Y80" s="125" t="s">
        <v>3</v>
      </c>
      <c r="Z80" s="125" t="s">
        <v>4</v>
      </c>
      <c r="AA80" s="125" t="s">
        <v>4</v>
      </c>
      <c r="AB80" s="125" t="s">
        <v>2</v>
      </c>
      <c r="AC80" s="192" t="s">
        <v>2</v>
      </c>
      <c r="AD80" s="84" t="s">
        <v>1</v>
      </c>
      <c r="AE80" s="125" t="s">
        <v>2</v>
      </c>
      <c r="AF80" s="193" t="s">
        <v>3</v>
      </c>
      <c r="AG80" s="193" t="s">
        <v>4</v>
      </c>
      <c r="AH80" s="195" t="s">
        <v>4</v>
      </c>
    </row>
    <row r="81" spans="1:34" ht="15.75" customHeight="1" thickBot="1" x14ac:dyDescent="0.25">
      <c r="A81" s="1042"/>
      <c r="B81" s="1045"/>
      <c r="C81" s="1046"/>
      <c r="D81" s="196">
        <v>1</v>
      </c>
      <c r="E81" s="126">
        <v>2</v>
      </c>
      <c r="F81" s="126">
        <v>3</v>
      </c>
      <c r="G81" s="126">
        <v>4</v>
      </c>
      <c r="H81" s="126">
        <v>5</v>
      </c>
      <c r="I81" s="126">
        <v>6</v>
      </c>
      <c r="J81" s="126">
        <v>7</v>
      </c>
      <c r="K81" s="126">
        <v>8</v>
      </c>
      <c r="L81" s="126">
        <v>9</v>
      </c>
      <c r="M81" s="126">
        <v>10</v>
      </c>
      <c r="N81" s="126">
        <v>11</v>
      </c>
      <c r="O81" s="126">
        <v>12</v>
      </c>
      <c r="P81" s="126">
        <v>13</v>
      </c>
      <c r="Q81" s="126">
        <v>14</v>
      </c>
      <c r="R81" s="126">
        <v>15</v>
      </c>
      <c r="S81" s="126">
        <v>16</v>
      </c>
      <c r="T81" s="126">
        <v>17</v>
      </c>
      <c r="U81" s="126">
        <v>18</v>
      </c>
      <c r="V81" s="126">
        <v>19</v>
      </c>
      <c r="W81" s="126">
        <v>20</v>
      </c>
      <c r="X81" s="126">
        <v>21</v>
      </c>
      <c r="Y81" s="126">
        <v>22</v>
      </c>
      <c r="Z81" s="126">
        <v>23</v>
      </c>
      <c r="AA81" s="126">
        <v>24</v>
      </c>
      <c r="AB81" s="126">
        <v>25</v>
      </c>
      <c r="AC81" s="126">
        <v>26</v>
      </c>
      <c r="AD81" s="126">
        <v>27</v>
      </c>
      <c r="AE81" s="126">
        <v>28</v>
      </c>
      <c r="AF81" s="126">
        <v>29</v>
      </c>
      <c r="AG81" s="136">
        <v>30</v>
      </c>
      <c r="AH81" s="197">
        <v>30</v>
      </c>
    </row>
    <row r="82" spans="1:34" ht="15.75" customHeight="1" x14ac:dyDescent="0.2">
      <c r="A82" s="61" t="s">
        <v>92</v>
      </c>
      <c r="B82" s="1047" t="s">
        <v>32</v>
      </c>
      <c r="C82" s="1048"/>
      <c r="D82" s="362"/>
      <c r="E82" s="164"/>
      <c r="F82" s="164"/>
      <c r="G82" s="164"/>
      <c r="H82" s="102"/>
      <c r="I82" s="102"/>
      <c r="J82" s="102"/>
      <c r="K82" s="102"/>
      <c r="L82" s="164"/>
      <c r="M82" s="164"/>
      <c r="N82" s="164"/>
      <c r="O82" s="164"/>
      <c r="P82" s="164"/>
      <c r="Q82" s="164"/>
      <c r="R82" s="164"/>
      <c r="S82" s="164"/>
      <c r="T82" s="163"/>
      <c r="U82" s="163"/>
      <c r="V82" s="163"/>
      <c r="W82" s="163"/>
      <c r="X82" s="163"/>
      <c r="Y82" s="163"/>
      <c r="Z82" s="163"/>
      <c r="AA82" s="163"/>
      <c r="AB82" s="163"/>
      <c r="AC82" s="163"/>
      <c r="AD82" s="163"/>
      <c r="AE82" s="163"/>
      <c r="AF82" s="163"/>
      <c r="AG82" s="127"/>
      <c r="AH82" s="255"/>
    </row>
    <row r="83" spans="1:34" ht="17.25" customHeight="1" x14ac:dyDescent="0.2">
      <c r="A83" s="61" t="s">
        <v>93</v>
      </c>
      <c r="B83" s="1049"/>
      <c r="C83" s="1050"/>
      <c r="D83" s="363"/>
      <c r="E83" s="104"/>
      <c r="F83" s="104"/>
      <c r="G83" s="104"/>
      <c r="H83" s="102"/>
      <c r="I83" s="102"/>
      <c r="J83" s="107"/>
      <c r="K83" s="102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2"/>
      <c r="AF83" s="104"/>
      <c r="AG83" s="127"/>
      <c r="AH83" s="225"/>
    </row>
    <row r="84" spans="1:34" x14ac:dyDescent="0.2">
      <c r="A84" s="98" t="s">
        <v>94</v>
      </c>
      <c r="B84" s="1051"/>
      <c r="C84" s="1052"/>
      <c r="D84" s="364"/>
      <c r="E84" s="119"/>
      <c r="F84" s="119"/>
      <c r="G84" s="120"/>
      <c r="H84" s="102"/>
      <c r="I84" s="102"/>
      <c r="J84" s="110"/>
      <c r="K84" s="102"/>
      <c r="L84" s="119"/>
      <c r="M84" s="120"/>
      <c r="N84" s="120"/>
      <c r="O84" s="119"/>
      <c r="P84" s="119"/>
      <c r="Q84" s="119"/>
      <c r="R84" s="119"/>
      <c r="S84" s="112"/>
      <c r="T84" s="112"/>
      <c r="U84" s="112"/>
      <c r="V84" s="112"/>
      <c r="W84" s="112"/>
      <c r="X84" s="112"/>
      <c r="Y84" s="112"/>
      <c r="Z84" s="112"/>
      <c r="AA84" s="112"/>
      <c r="AB84" s="112"/>
      <c r="AC84" s="112"/>
      <c r="AD84" s="112"/>
      <c r="AE84" s="64"/>
      <c r="AF84" s="112"/>
      <c r="AG84" s="127"/>
      <c r="AH84" s="225"/>
    </row>
    <row r="85" spans="1:34" ht="13.5" thickBot="1" x14ac:dyDescent="0.25">
      <c r="A85" s="75" t="s">
        <v>95</v>
      </c>
      <c r="B85" s="1053"/>
      <c r="C85" s="1054"/>
      <c r="D85" s="113"/>
      <c r="E85" s="114"/>
      <c r="F85" s="121"/>
      <c r="G85" s="114"/>
      <c r="H85" s="122"/>
      <c r="I85" s="122"/>
      <c r="J85" s="114"/>
      <c r="K85" s="114"/>
      <c r="L85" s="168"/>
      <c r="M85" s="114"/>
      <c r="N85" s="114"/>
      <c r="O85" s="168"/>
      <c r="P85" s="114"/>
      <c r="Q85" s="114"/>
      <c r="R85" s="114"/>
      <c r="S85" s="114"/>
      <c r="T85" s="115"/>
      <c r="U85" s="115"/>
      <c r="V85" s="115"/>
      <c r="W85" s="114"/>
      <c r="X85" s="115"/>
      <c r="Y85" s="115"/>
      <c r="Z85" s="115"/>
      <c r="AA85" s="115"/>
      <c r="AB85" s="115"/>
      <c r="AC85" s="115"/>
      <c r="AD85" s="115"/>
      <c r="AE85" s="115"/>
      <c r="AF85" s="117"/>
      <c r="AG85" s="128"/>
      <c r="AH85" s="251"/>
    </row>
    <row r="86" spans="1:34" ht="13.5" thickBot="1" x14ac:dyDescent="0.25">
      <c r="A86" s="70"/>
      <c r="B86" s="71"/>
      <c r="C86" s="71"/>
      <c r="D86" s="72"/>
      <c r="E86" s="72"/>
      <c r="F86" s="72"/>
      <c r="G86" s="73"/>
      <c r="H86" s="72"/>
      <c r="I86" s="72"/>
      <c r="J86" s="72"/>
      <c r="K86" s="73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63"/>
    </row>
    <row r="87" spans="1:34" x14ac:dyDescent="0.2">
      <c r="A87" s="70"/>
      <c r="B87" s="71"/>
      <c r="C87" s="71"/>
      <c r="D87" s="191" t="s">
        <v>3</v>
      </c>
      <c r="E87" s="125" t="s">
        <v>4</v>
      </c>
      <c r="F87" s="125" t="s">
        <v>4</v>
      </c>
      <c r="G87" s="125" t="s">
        <v>2</v>
      </c>
      <c r="H87" s="192" t="s">
        <v>2</v>
      </c>
      <c r="I87" s="84" t="s">
        <v>1</v>
      </c>
      <c r="J87" s="125" t="s">
        <v>2</v>
      </c>
      <c r="K87" s="125" t="s">
        <v>3</v>
      </c>
      <c r="L87" s="125" t="s">
        <v>4</v>
      </c>
      <c r="M87" s="125" t="s">
        <v>4</v>
      </c>
      <c r="N87" s="125" t="s">
        <v>2</v>
      </c>
      <c r="O87" s="192" t="s">
        <v>2</v>
      </c>
      <c r="P87" s="84" t="s">
        <v>1</v>
      </c>
      <c r="Q87" s="125" t="s">
        <v>2</v>
      </c>
      <c r="R87" s="125" t="s">
        <v>3</v>
      </c>
      <c r="S87" s="125" t="s">
        <v>4</v>
      </c>
      <c r="T87" s="125" t="s">
        <v>4</v>
      </c>
      <c r="U87" s="125" t="s">
        <v>2</v>
      </c>
      <c r="V87" s="192" t="s">
        <v>2</v>
      </c>
      <c r="W87" s="84" t="s">
        <v>1</v>
      </c>
      <c r="X87" s="125" t="s">
        <v>2</v>
      </c>
      <c r="Y87" s="125" t="s">
        <v>3</v>
      </c>
      <c r="Z87" s="125" t="s">
        <v>4</v>
      </c>
      <c r="AA87" s="125" t="s">
        <v>4</v>
      </c>
      <c r="AB87" s="125" t="s">
        <v>2</v>
      </c>
      <c r="AC87" s="192" t="s">
        <v>2</v>
      </c>
      <c r="AD87" s="84" t="s">
        <v>1</v>
      </c>
      <c r="AE87" s="125" t="s">
        <v>2</v>
      </c>
      <c r="AF87" s="193" t="s">
        <v>3</v>
      </c>
      <c r="AG87" s="193" t="s">
        <v>4</v>
      </c>
      <c r="AH87" s="195" t="s">
        <v>4</v>
      </c>
    </row>
    <row r="88" spans="1:34" ht="13.5" thickBot="1" x14ac:dyDescent="0.25">
      <c r="A88" s="70"/>
      <c r="B88" s="71"/>
      <c r="C88" s="71"/>
      <c r="D88" s="196">
        <v>1</v>
      </c>
      <c r="E88" s="126">
        <v>2</v>
      </c>
      <c r="F88" s="126">
        <v>3</v>
      </c>
      <c r="G88" s="126">
        <v>4</v>
      </c>
      <c r="H88" s="126">
        <v>5</v>
      </c>
      <c r="I88" s="126">
        <v>6</v>
      </c>
      <c r="J88" s="126">
        <v>7</v>
      </c>
      <c r="K88" s="126">
        <v>8</v>
      </c>
      <c r="L88" s="126">
        <v>9</v>
      </c>
      <c r="M88" s="126">
        <v>10</v>
      </c>
      <c r="N88" s="126">
        <v>11</v>
      </c>
      <c r="O88" s="126">
        <v>12</v>
      </c>
      <c r="P88" s="126">
        <v>13</v>
      </c>
      <c r="Q88" s="126">
        <v>14</v>
      </c>
      <c r="R88" s="126">
        <v>15</v>
      </c>
      <c r="S88" s="126">
        <v>16</v>
      </c>
      <c r="T88" s="126">
        <v>17</v>
      </c>
      <c r="U88" s="126">
        <v>18</v>
      </c>
      <c r="V88" s="126">
        <v>19</v>
      </c>
      <c r="W88" s="126">
        <v>20</v>
      </c>
      <c r="X88" s="126">
        <v>21</v>
      </c>
      <c r="Y88" s="126">
        <v>22</v>
      </c>
      <c r="Z88" s="126">
        <v>23</v>
      </c>
      <c r="AA88" s="126">
        <v>24</v>
      </c>
      <c r="AB88" s="126">
        <v>25</v>
      </c>
      <c r="AC88" s="126">
        <v>26</v>
      </c>
      <c r="AD88" s="126">
        <v>27</v>
      </c>
      <c r="AE88" s="126">
        <v>28</v>
      </c>
      <c r="AF88" s="126">
        <v>29</v>
      </c>
      <c r="AG88" s="136">
        <v>30</v>
      </c>
      <c r="AH88" s="197">
        <v>30</v>
      </c>
    </row>
    <row r="89" spans="1:34" ht="13.5" thickBot="1" x14ac:dyDescent="0.25">
      <c r="A89" s="74" t="s">
        <v>15</v>
      </c>
      <c r="B89" s="1060" t="s">
        <v>30</v>
      </c>
      <c r="C89" s="1061"/>
      <c r="D89" s="101"/>
      <c r="E89" s="102"/>
      <c r="F89" s="102"/>
      <c r="G89" s="64"/>
      <c r="H89" s="102"/>
      <c r="I89" s="102"/>
      <c r="J89" s="102"/>
      <c r="K89" s="102"/>
      <c r="L89" s="103"/>
      <c r="M89" s="102"/>
      <c r="N89" s="102"/>
      <c r="O89" s="102"/>
      <c r="P89" s="104"/>
      <c r="Q89" s="104"/>
      <c r="R89" s="359"/>
      <c r="S89" s="106"/>
      <c r="T89" s="162"/>
      <c r="U89" s="106"/>
      <c r="V89" s="106"/>
      <c r="W89" s="106"/>
      <c r="X89" s="106"/>
      <c r="Y89" s="106"/>
      <c r="Z89" s="106"/>
      <c r="AA89" s="106"/>
      <c r="AB89" s="106"/>
      <c r="AC89" s="106"/>
      <c r="AD89" s="106"/>
      <c r="AE89" s="106"/>
      <c r="AF89" s="106"/>
      <c r="AG89" s="127"/>
      <c r="AH89" s="255"/>
    </row>
    <row r="90" spans="1:34" ht="13.5" thickBot="1" x14ac:dyDescent="0.25">
      <c r="A90" s="77" t="s">
        <v>31</v>
      </c>
      <c r="B90" s="1039"/>
      <c r="C90" s="1040"/>
      <c r="D90" s="365"/>
      <c r="E90" s="105"/>
      <c r="F90" s="105"/>
      <c r="G90" s="105"/>
      <c r="H90" s="105"/>
      <c r="I90" s="105"/>
      <c r="J90" s="105"/>
      <c r="K90" s="105"/>
      <c r="L90" s="105"/>
      <c r="M90" s="105"/>
      <c r="N90" s="105"/>
      <c r="O90" s="105"/>
      <c r="P90" s="105"/>
      <c r="Q90" s="105"/>
      <c r="R90" s="105"/>
      <c r="S90" s="105"/>
      <c r="T90" s="105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8"/>
      <c r="AH90" s="251"/>
    </row>
    <row r="91" spans="1:34" ht="13.5" thickBot="1" x14ac:dyDescent="0.25">
      <c r="A91" s="63"/>
      <c r="B91" s="81"/>
      <c r="C91" s="81"/>
      <c r="D91" s="366"/>
      <c r="E91" s="366"/>
      <c r="F91" s="366"/>
      <c r="G91" s="366"/>
      <c r="H91" s="366"/>
      <c r="I91" s="366"/>
      <c r="J91" s="366"/>
      <c r="K91" s="366"/>
      <c r="L91" s="366"/>
      <c r="M91" s="366"/>
      <c r="N91" s="366"/>
      <c r="O91" s="366"/>
      <c r="P91" s="366"/>
      <c r="Q91" s="366"/>
      <c r="R91" s="366"/>
      <c r="S91" s="366"/>
      <c r="T91" s="366"/>
      <c r="U91" s="366"/>
      <c r="V91" s="366"/>
      <c r="W91" s="366"/>
      <c r="X91" s="366"/>
      <c r="Y91" s="366"/>
      <c r="Z91" s="366"/>
      <c r="AA91" s="366"/>
      <c r="AB91" s="366"/>
      <c r="AC91" s="366"/>
      <c r="AD91" s="366"/>
      <c r="AE91" s="366"/>
      <c r="AF91" s="366"/>
      <c r="AG91" s="64"/>
      <c r="AH91" s="372"/>
    </row>
    <row r="92" spans="1:34" ht="13.5" thickBot="1" x14ac:dyDescent="0.25">
      <c r="A92" s="74" t="s">
        <v>48</v>
      </c>
      <c r="B92" s="1055" t="s">
        <v>30</v>
      </c>
      <c r="C92" s="1056"/>
      <c r="D92" s="131"/>
      <c r="E92" s="123"/>
      <c r="F92" s="123"/>
      <c r="G92" s="123"/>
      <c r="H92" s="123"/>
      <c r="I92" s="123"/>
      <c r="J92" s="123"/>
      <c r="K92" s="123"/>
      <c r="L92" s="123"/>
      <c r="M92" s="123"/>
      <c r="N92" s="123"/>
      <c r="O92" s="123"/>
      <c r="P92" s="123"/>
      <c r="Q92" s="123"/>
      <c r="R92" s="123"/>
      <c r="S92" s="123"/>
      <c r="T92" s="166"/>
      <c r="U92" s="123"/>
      <c r="V92" s="123"/>
      <c r="W92" s="123"/>
      <c r="X92" s="123"/>
      <c r="Y92" s="123"/>
      <c r="Z92" s="123"/>
      <c r="AA92" s="123"/>
      <c r="AB92" s="123"/>
      <c r="AC92" s="123"/>
      <c r="AD92" s="123"/>
      <c r="AE92" s="123"/>
      <c r="AF92" s="123"/>
      <c r="AG92" s="129"/>
      <c r="AH92" s="255"/>
    </row>
    <row r="93" spans="1:34" ht="13.5" thickBot="1" x14ac:dyDescent="0.25">
      <c r="A93" s="77" t="s">
        <v>45</v>
      </c>
      <c r="B93" s="1039"/>
      <c r="C93" s="1040"/>
      <c r="D93" s="113"/>
      <c r="E93" s="114"/>
      <c r="F93" s="114"/>
      <c r="G93" s="114"/>
      <c r="H93" s="114"/>
      <c r="I93" s="114"/>
      <c r="J93" s="114"/>
      <c r="K93" s="114"/>
      <c r="L93" s="114"/>
      <c r="M93" s="114"/>
      <c r="N93" s="114"/>
      <c r="O93" s="114"/>
      <c r="P93" s="114"/>
      <c r="Q93" s="114"/>
      <c r="R93" s="114"/>
      <c r="S93" s="114"/>
      <c r="T93" s="367"/>
      <c r="U93" s="114"/>
      <c r="V93" s="124"/>
      <c r="W93" s="124"/>
      <c r="X93" s="124"/>
      <c r="Y93" s="124"/>
      <c r="Z93" s="124"/>
      <c r="AA93" s="124"/>
      <c r="AB93" s="124"/>
      <c r="AC93" s="124"/>
      <c r="AD93" s="124"/>
      <c r="AE93" s="124"/>
      <c r="AF93" s="124"/>
      <c r="AG93" s="128"/>
      <c r="AH93" s="251"/>
    </row>
  </sheetData>
  <dataConsolidate/>
  <mergeCells count="47">
    <mergeCell ref="C2:AH2"/>
    <mergeCell ref="A3:A4"/>
    <mergeCell ref="B3:B4"/>
    <mergeCell ref="C3:C4"/>
    <mergeCell ref="A17:A18"/>
    <mergeCell ref="B17:B18"/>
    <mergeCell ref="C17:C18"/>
    <mergeCell ref="B28:B29"/>
    <mergeCell ref="C28:C29"/>
    <mergeCell ref="A39:A40"/>
    <mergeCell ref="B39:B40"/>
    <mergeCell ref="C39:C40"/>
    <mergeCell ref="A28:A29"/>
    <mergeCell ref="A68:A69"/>
    <mergeCell ref="B68:C69"/>
    <mergeCell ref="D55:AG55"/>
    <mergeCell ref="A56:C57"/>
    <mergeCell ref="A58:C58"/>
    <mergeCell ref="A59:C59"/>
    <mergeCell ref="B60:AF60"/>
    <mergeCell ref="A61:C61"/>
    <mergeCell ref="D61:AG61"/>
    <mergeCell ref="A55:C55"/>
    <mergeCell ref="A62:A63"/>
    <mergeCell ref="B62:C63"/>
    <mergeCell ref="B64:C64"/>
    <mergeCell ref="B65:C65"/>
    <mergeCell ref="B67:C67"/>
    <mergeCell ref="B70:C70"/>
    <mergeCell ref="B71:C71"/>
    <mergeCell ref="B72:C72"/>
    <mergeCell ref="B73:C73"/>
    <mergeCell ref="A74:A75"/>
    <mergeCell ref="B74:C75"/>
    <mergeCell ref="B76:C76"/>
    <mergeCell ref="B77:C77"/>
    <mergeCell ref="B79:C79"/>
    <mergeCell ref="B89:C89"/>
    <mergeCell ref="B90:C90"/>
    <mergeCell ref="B93:C93"/>
    <mergeCell ref="A80:A81"/>
    <mergeCell ref="B80:C81"/>
    <mergeCell ref="B82:C82"/>
    <mergeCell ref="B83:C83"/>
    <mergeCell ref="B84:C84"/>
    <mergeCell ref="B85:C85"/>
    <mergeCell ref="B92:C92"/>
  </mergeCells>
  <dataValidations count="2">
    <dataValidation type="list" allowBlank="1" showInputMessage="1" showErrorMessage="1" sqref="AH58:AH60" xr:uid="{00000000-0002-0000-0000-000000000000}">
      <formula1>$X$30:$X$144</formula1>
    </dataValidation>
    <dataValidation type="list" allowBlank="1" showInputMessage="1" showErrorMessage="1" sqref="AH51 AH26:AH27 AH47 AH44 AH24" xr:uid="{00000000-0002-0000-0000-000001000000}">
      <formula1>$X$28:$X$141</formula1>
    </dataValidation>
  </dataValidations>
  <pageMargins left="0.59055118110236227" right="0.59055118110236227" top="0" bottom="0" header="0" footer="0"/>
  <pageSetup paperSize="9" scale="56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pageSetUpPr fitToPage="1"/>
  </sheetPr>
  <dimension ref="A1:AY88"/>
  <sheetViews>
    <sheetView view="pageBreakPreview" zoomScaleNormal="100" zoomScaleSheetLayoutView="100" workbookViewId="0">
      <pane xSplit="1" topLeftCell="B1" activePane="topRight" state="frozen"/>
      <selection activeCell="AD45" sqref="AD45"/>
      <selection pane="topRight" activeCell="D9" sqref="D9:S9"/>
    </sheetView>
  </sheetViews>
  <sheetFormatPr defaultRowHeight="15.75" customHeight="1" x14ac:dyDescent="0.2"/>
  <cols>
    <col min="1" max="1" width="22.85546875" style="1" customWidth="1"/>
    <col min="2" max="2" width="15" style="1" customWidth="1"/>
    <col min="3" max="3" width="15.140625" style="1" customWidth="1"/>
    <col min="4" max="11" width="4.7109375" style="1" customWidth="1"/>
    <col min="12" max="12" width="5.28515625" style="1" customWidth="1"/>
    <col min="13" max="15" width="4.7109375" style="1" customWidth="1"/>
    <col min="16" max="16" width="5.140625" style="1" customWidth="1"/>
    <col min="17" max="32" width="4.7109375" style="1" customWidth="1"/>
    <col min="33" max="33" width="5" style="1" hidden="1" customWidth="1"/>
    <col min="34" max="35" width="4.7109375" style="1" customWidth="1"/>
    <col min="36" max="36" width="9.85546875" style="1" customWidth="1"/>
    <col min="37" max="37" width="9.140625" style="1" customWidth="1"/>
    <col min="38" max="38" width="22.140625" style="1" customWidth="1"/>
    <col min="39" max="16384" width="9.140625" style="1"/>
  </cols>
  <sheetData>
    <row r="1" spans="1:37" ht="15.75" customHeight="1" x14ac:dyDescent="0.25">
      <c r="A1" s="1122" t="s">
        <v>99</v>
      </c>
      <c r="B1" s="1122"/>
      <c r="C1" s="1122"/>
      <c r="D1" s="1122"/>
      <c r="E1" s="1122"/>
      <c r="F1" s="1122"/>
      <c r="G1" s="1122"/>
      <c r="H1" s="1122"/>
      <c r="I1" s="1122"/>
      <c r="J1" s="1122"/>
      <c r="K1" s="1122"/>
      <c r="L1" s="1122"/>
      <c r="M1" s="1122"/>
      <c r="N1" s="1122"/>
      <c r="O1" s="1122"/>
      <c r="P1" s="1122"/>
      <c r="Q1" s="1122"/>
      <c r="R1" s="1122"/>
      <c r="S1" s="1122"/>
      <c r="T1" s="1122"/>
      <c r="U1" s="1122"/>
      <c r="V1" s="1122"/>
      <c r="W1" s="1122"/>
      <c r="X1" s="1122"/>
      <c r="Y1" s="1122"/>
      <c r="Z1" s="1122"/>
      <c r="AA1" s="1122"/>
      <c r="AB1" s="1122"/>
      <c r="AC1" s="1122"/>
      <c r="AD1" s="1122"/>
      <c r="AE1" s="1122"/>
      <c r="AF1" s="1122"/>
      <c r="AG1" s="1122"/>
      <c r="AH1" s="1122"/>
    </row>
    <row r="2" spans="1:37" ht="15.75" customHeight="1" x14ac:dyDescent="0.25">
      <c r="A2" s="1122" t="s">
        <v>100</v>
      </c>
      <c r="B2" s="1122"/>
      <c r="C2" s="1122"/>
      <c r="D2" s="1122"/>
      <c r="E2" s="1122"/>
      <c r="F2" s="1122"/>
      <c r="G2" s="1122"/>
      <c r="H2" s="1122"/>
      <c r="I2" s="1122"/>
      <c r="J2" s="1122"/>
      <c r="K2" s="1122"/>
      <c r="L2" s="1122"/>
      <c r="M2" s="1122"/>
      <c r="N2" s="1122"/>
      <c r="O2" s="1122"/>
      <c r="P2" s="1122"/>
      <c r="Q2" s="1122"/>
      <c r="R2" s="1122"/>
      <c r="S2" s="1122"/>
      <c r="T2" s="1122"/>
      <c r="U2" s="1122"/>
      <c r="V2" s="1122"/>
      <c r="W2" s="1122"/>
      <c r="X2" s="1122"/>
      <c r="Y2" s="1122"/>
      <c r="Z2" s="1122"/>
      <c r="AA2" s="1122"/>
      <c r="AB2" s="1122"/>
      <c r="AC2" s="1122"/>
      <c r="AD2" s="1122"/>
      <c r="AE2" s="1122"/>
      <c r="AF2" s="1122"/>
      <c r="AG2" s="1122"/>
      <c r="AH2" s="1122"/>
    </row>
    <row r="3" spans="1:37" ht="15.75" customHeight="1" x14ac:dyDescent="0.25">
      <c r="A3" s="506"/>
      <c r="B3" s="506"/>
      <c r="C3" s="506"/>
      <c r="D3" s="506"/>
      <c r="E3" s="506"/>
      <c r="F3" s="506"/>
      <c r="G3" s="1122" t="s">
        <v>121</v>
      </c>
      <c r="H3" s="1122"/>
      <c r="I3" s="1122"/>
      <c r="J3" s="1122"/>
      <c r="K3" s="1122"/>
      <c r="L3" s="1122"/>
      <c r="M3" s="1122"/>
      <c r="N3" s="1122"/>
      <c r="O3" s="1122"/>
      <c r="P3" s="1122"/>
      <c r="Q3" s="1122"/>
      <c r="R3" s="1122"/>
      <c r="S3" s="506"/>
      <c r="T3" s="506"/>
      <c r="U3" s="506"/>
      <c r="V3" s="506"/>
      <c r="W3" s="506"/>
      <c r="X3" s="506"/>
      <c r="Y3" s="506"/>
      <c r="Z3" s="506"/>
      <c r="AA3" s="506"/>
      <c r="AB3" s="506"/>
      <c r="AC3" s="506"/>
      <c r="AD3" s="506"/>
      <c r="AE3" s="506"/>
      <c r="AF3" s="506"/>
      <c r="AG3" s="506"/>
      <c r="AH3" s="506"/>
    </row>
    <row r="4" spans="1:37" ht="15.75" customHeight="1" x14ac:dyDescent="0.25">
      <c r="A4" s="506"/>
      <c r="B4" s="506"/>
      <c r="C4" s="506"/>
      <c r="D4" s="506"/>
      <c r="E4" s="506"/>
      <c r="F4" s="506"/>
      <c r="G4" s="506"/>
      <c r="H4" s="506"/>
      <c r="I4" s="1122" t="s">
        <v>122</v>
      </c>
      <c r="J4" s="1122"/>
      <c r="K4" s="1122"/>
      <c r="L4" s="1122"/>
      <c r="M4" s="1122"/>
      <c r="N4" s="1122"/>
      <c r="O4" s="1122"/>
      <c r="P4" s="1122"/>
      <c r="Q4" s="506"/>
      <c r="R4" s="506"/>
      <c r="S4" s="506"/>
      <c r="T4" s="506"/>
      <c r="U4" s="506"/>
      <c r="V4" s="506"/>
      <c r="W4" s="506"/>
      <c r="X4" s="506"/>
      <c r="Y4" s="506"/>
      <c r="Z4" s="506"/>
      <c r="AA4" s="506"/>
      <c r="AB4" s="506"/>
      <c r="AC4" s="506"/>
      <c r="AD4" s="506"/>
      <c r="AE4" s="506"/>
      <c r="AF4" s="506"/>
      <c r="AG4" s="506"/>
      <c r="AH4" s="506"/>
    </row>
    <row r="5" spans="1:37" ht="15.75" customHeight="1" thickBot="1" x14ac:dyDescent="0.25">
      <c r="A5" s="186"/>
      <c r="B5" s="186"/>
      <c r="C5" s="387"/>
      <c r="D5" s="387"/>
      <c r="E5" s="387"/>
      <c r="F5" s="387"/>
      <c r="G5" s="387"/>
      <c r="H5" s="387"/>
      <c r="I5" s="387"/>
      <c r="J5" s="387"/>
      <c r="K5" s="387"/>
      <c r="L5" s="387"/>
      <c r="M5" s="387"/>
      <c r="N5" s="387"/>
      <c r="O5" s="387"/>
      <c r="P5" s="387"/>
      <c r="Q5" s="387"/>
      <c r="R5" s="387"/>
      <c r="S5" s="387"/>
      <c r="T5" s="387"/>
      <c r="U5" s="387"/>
      <c r="V5" s="387"/>
      <c r="W5" s="387"/>
      <c r="X5" s="387"/>
      <c r="Y5" s="387"/>
      <c r="Z5" s="387"/>
      <c r="AA5" s="387"/>
      <c r="AB5" s="387"/>
      <c r="AC5" s="387"/>
      <c r="AD5" s="387"/>
      <c r="AE5" s="387"/>
      <c r="AF5" s="387"/>
      <c r="AG5" s="387"/>
      <c r="AH5" s="387"/>
    </row>
    <row r="6" spans="1:37" ht="30" customHeight="1" thickBot="1" x14ac:dyDescent="0.25">
      <c r="A6" s="1123" t="s">
        <v>125</v>
      </c>
      <c r="B6" s="1124"/>
      <c r="C6" s="1124"/>
      <c r="D6" s="1124"/>
      <c r="E6" s="1124"/>
      <c r="F6" s="1124"/>
      <c r="G6" s="1124"/>
      <c r="H6" s="1124"/>
      <c r="I6" s="1124"/>
      <c r="J6" s="1124"/>
      <c r="K6" s="1124"/>
      <c r="L6" s="1124"/>
      <c r="M6" s="1124"/>
      <c r="N6" s="1124"/>
      <c r="O6" s="1124"/>
      <c r="P6" s="1124"/>
      <c r="Q6" s="1124"/>
      <c r="R6" s="1124"/>
      <c r="S6" s="1124"/>
      <c r="T6" s="1124"/>
      <c r="U6" s="1124"/>
      <c r="V6" s="1124"/>
      <c r="W6" s="1124"/>
      <c r="X6" s="1124"/>
      <c r="Y6" s="1124"/>
      <c r="Z6" s="1124"/>
      <c r="AA6" s="1124"/>
      <c r="AB6" s="1124"/>
      <c r="AC6" s="1124"/>
      <c r="AD6" s="1124"/>
      <c r="AE6" s="1124"/>
      <c r="AF6" s="1124"/>
      <c r="AG6" s="1124"/>
      <c r="AH6" s="1124"/>
      <c r="AI6" s="1125"/>
      <c r="AK6" s="97"/>
    </row>
    <row r="7" spans="1:37" ht="15.75" customHeight="1" x14ac:dyDescent="0.2">
      <c r="A7" s="1111" t="s">
        <v>39</v>
      </c>
      <c r="B7" s="1113" t="s">
        <v>34</v>
      </c>
      <c r="C7" s="1126" t="s">
        <v>17</v>
      </c>
      <c r="D7" s="191" t="s">
        <v>4</v>
      </c>
      <c r="E7" s="125" t="s">
        <v>4</v>
      </c>
      <c r="F7" s="393" t="s">
        <v>2</v>
      </c>
      <c r="G7" s="84" t="s">
        <v>2</v>
      </c>
      <c r="H7" s="84" t="s">
        <v>1</v>
      </c>
      <c r="I7" s="125" t="s">
        <v>2</v>
      </c>
      <c r="J7" s="125" t="s">
        <v>3</v>
      </c>
      <c r="K7" s="191" t="s">
        <v>4</v>
      </c>
      <c r="L7" s="125" t="s">
        <v>4</v>
      </c>
      <c r="M7" s="393" t="s">
        <v>2</v>
      </c>
      <c r="N7" s="84" t="s">
        <v>2</v>
      </c>
      <c r="O7" s="84" t="s">
        <v>1</v>
      </c>
      <c r="P7" s="125" t="s">
        <v>2</v>
      </c>
      <c r="Q7" s="125" t="s">
        <v>3</v>
      </c>
      <c r="R7" s="191" t="s">
        <v>4</v>
      </c>
      <c r="S7" s="125" t="s">
        <v>4</v>
      </c>
      <c r="T7" s="393" t="s">
        <v>2</v>
      </c>
      <c r="U7" s="84" t="s">
        <v>2</v>
      </c>
      <c r="V7" s="84" t="s">
        <v>1</v>
      </c>
      <c r="W7" s="125" t="s">
        <v>2</v>
      </c>
      <c r="X7" s="125" t="s">
        <v>3</v>
      </c>
      <c r="Y7" s="191" t="s">
        <v>4</v>
      </c>
      <c r="Z7" s="125" t="s">
        <v>4</v>
      </c>
      <c r="AA7" s="393" t="s">
        <v>2</v>
      </c>
      <c r="AB7" s="84" t="s">
        <v>2</v>
      </c>
      <c r="AC7" s="84" t="s">
        <v>1</v>
      </c>
      <c r="AD7" s="125" t="s">
        <v>2</v>
      </c>
      <c r="AE7" s="125" t="s">
        <v>3</v>
      </c>
      <c r="AF7" s="393" t="s">
        <v>4</v>
      </c>
      <c r="AG7" s="394"/>
      <c r="AH7" s="393" t="s">
        <v>4</v>
      </c>
      <c r="AI7" s="458" t="s">
        <v>2</v>
      </c>
      <c r="AJ7" s="96"/>
    </row>
    <row r="8" spans="1:37" ht="15.75" customHeight="1" thickBot="1" x14ac:dyDescent="0.25">
      <c r="A8" s="1112"/>
      <c r="B8" s="1114"/>
      <c r="C8" s="1127"/>
      <c r="D8" s="196">
        <v>1</v>
      </c>
      <c r="E8" s="126">
        <f>D8+1</f>
        <v>2</v>
      </c>
      <c r="F8" s="126">
        <f>E8+1</f>
        <v>3</v>
      </c>
      <c r="G8" s="444">
        <f t="shared" ref="G8:AI8" si="0">F8+1</f>
        <v>4</v>
      </c>
      <c r="H8" s="444">
        <f t="shared" si="0"/>
        <v>5</v>
      </c>
      <c r="I8" s="126">
        <f t="shared" si="0"/>
        <v>6</v>
      </c>
      <c r="J8" s="126">
        <f t="shared" si="0"/>
        <v>7</v>
      </c>
      <c r="K8" s="126">
        <f t="shared" si="0"/>
        <v>8</v>
      </c>
      <c r="L8" s="126">
        <f t="shared" si="0"/>
        <v>9</v>
      </c>
      <c r="M8" s="126">
        <f t="shared" si="0"/>
        <v>10</v>
      </c>
      <c r="N8" s="444">
        <f t="shared" si="0"/>
        <v>11</v>
      </c>
      <c r="O8" s="444">
        <f t="shared" si="0"/>
        <v>12</v>
      </c>
      <c r="P8" s="126">
        <f t="shared" si="0"/>
        <v>13</v>
      </c>
      <c r="Q8" s="126">
        <f t="shared" si="0"/>
        <v>14</v>
      </c>
      <c r="R8" s="126">
        <f t="shared" si="0"/>
        <v>15</v>
      </c>
      <c r="S8" s="126">
        <f t="shared" si="0"/>
        <v>16</v>
      </c>
      <c r="T8" s="126">
        <f t="shared" si="0"/>
        <v>17</v>
      </c>
      <c r="U8" s="444">
        <f t="shared" si="0"/>
        <v>18</v>
      </c>
      <c r="V8" s="444">
        <f t="shared" si="0"/>
        <v>19</v>
      </c>
      <c r="W8" s="126">
        <f t="shared" si="0"/>
        <v>20</v>
      </c>
      <c r="X8" s="126">
        <f t="shared" si="0"/>
        <v>21</v>
      </c>
      <c r="Y8" s="126">
        <f t="shared" si="0"/>
        <v>22</v>
      </c>
      <c r="Z8" s="126">
        <f t="shared" si="0"/>
        <v>23</v>
      </c>
      <c r="AA8" s="126">
        <f t="shared" si="0"/>
        <v>24</v>
      </c>
      <c r="AB8" s="444">
        <f t="shared" si="0"/>
        <v>25</v>
      </c>
      <c r="AC8" s="444">
        <f t="shared" si="0"/>
        <v>26</v>
      </c>
      <c r="AD8" s="126">
        <f t="shared" si="0"/>
        <v>27</v>
      </c>
      <c r="AE8" s="126">
        <f t="shared" si="0"/>
        <v>28</v>
      </c>
      <c r="AF8" s="126">
        <f t="shared" si="0"/>
        <v>29</v>
      </c>
      <c r="AG8" s="126">
        <f t="shared" si="0"/>
        <v>30</v>
      </c>
      <c r="AH8" s="126">
        <v>30</v>
      </c>
      <c r="AI8" s="459">
        <f t="shared" si="0"/>
        <v>31</v>
      </c>
      <c r="AJ8" s="96"/>
    </row>
    <row r="9" spans="1:37" ht="15.75" customHeight="1" thickBot="1" x14ac:dyDescent="0.3">
      <c r="A9" s="262" t="s">
        <v>68</v>
      </c>
      <c r="B9" s="480" t="s">
        <v>32</v>
      </c>
      <c r="C9" s="481">
        <v>900877</v>
      </c>
      <c r="D9" s="1137" t="s">
        <v>118</v>
      </c>
      <c r="E9" s="1138"/>
      <c r="F9" s="1138"/>
      <c r="G9" s="1138"/>
      <c r="H9" s="1138"/>
      <c r="I9" s="1138"/>
      <c r="J9" s="1138"/>
      <c r="K9" s="1138"/>
      <c r="L9" s="1138"/>
      <c r="M9" s="1138"/>
      <c r="N9" s="1138"/>
      <c r="O9" s="1138"/>
      <c r="P9" s="1138"/>
      <c r="Q9" s="1138"/>
      <c r="R9" s="1138"/>
      <c r="S9" s="1139"/>
      <c r="T9" s="572"/>
      <c r="U9" s="495"/>
      <c r="V9" s="548"/>
      <c r="W9" s="494"/>
      <c r="X9" s="494"/>
      <c r="Y9" s="494"/>
      <c r="Z9" s="548"/>
      <c r="AA9" s="494"/>
      <c r="AB9" s="495"/>
      <c r="AC9" s="494"/>
      <c r="AD9" s="548"/>
      <c r="AE9" s="494"/>
      <c r="AF9" s="495"/>
      <c r="AG9" s="494"/>
      <c r="AH9" s="494"/>
      <c r="AI9" s="555"/>
      <c r="AJ9" s="96"/>
    </row>
    <row r="10" spans="1:37" ht="15.75" customHeight="1" x14ac:dyDescent="0.25">
      <c r="A10" s="88" t="s">
        <v>83</v>
      </c>
      <c r="B10" s="392" t="s">
        <v>32</v>
      </c>
      <c r="C10" s="552">
        <v>900683</v>
      </c>
      <c r="D10" s="554"/>
      <c r="E10" s="403"/>
      <c r="F10" s="547"/>
      <c r="G10" s="403"/>
      <c r="H10" s="403"/>
      <c r="I10" s="403"/>
      <c r="J10" s="547"/>
      <c r="K10" s="403"/>
      <c r="L10" s="403"/>
      <c r="M10" s="403"/>
      <c r="N10" s="547"/>
      <c r="O10" s="403"/>
      <c r="P10" s="403"/>
      <c r="Q10" s="403"/>
      <c r="R10" s="547"/>
      <c r="S10" s="511"/>
      <c r="T10" s="407"/>
      <c r="U10" s="407"/>
      <c r="V10" s="541"/>
      <c r="W10" s="407"/>
      <c r="X10" s="407"/>
      <c r="Y10" s="407"/>
      <c r="Z10" s="541"/>
      <c r="AA10" s="407"/>
      <c r="AB10" s="407"/>
      <c r="AC10" s="407"/>
      <c r="AD10" s="541"/>
      <c r="AE10" s="407"/>
      <c r="AF10" s="407"/>
      <c r="AG10" s="407"/>
      <c r="AH10" s="407"/>
      <c r="AI10" s="556"/>
      <c r="AJ10" s="96"/>
    </row>
    <row r="11" spans="1:37" ht="15.75" customHeight="1" x14ac:dyDescent="0.2">
      <c r="A11" s="86" t="s">
        <v>46</v>
      </c>
      <c r="B11" s="169" t="s">
        <v>97</v>
      </c>
      <c r="C11" s="553">
        <v>3037789</v>
      </c>
      <c r="D11" s="502"/>
      <c r="E11" s="399"/>
      <c r="F11" s="541"/>
      <c r="G11" s="399"/>
      <c r="H11" s="399"/>
      <c r="I11" s="399"/>
      <c r="J11" s="541"/>
      <c r="K11" s="403"/>
      <c r="L11" s="403"/>
      <c r="M11" s="399"/>
      <c r="N11" s="541"/>
      <c r="O11" s="403"/>
      <c r="P11" s="399"/>
      <c r="Q11" s="399"/>
      <c r="R11" s="541"/>
      <c r="S11" s="399"/>
      <c r="T11" s="467"/>
      <c r="U11" s="467"/>
      <c r="V11" s="541"/>
      <c r="W11" s="467"/>
      <c r="X11" s="467"/>
      <c r="Y11" s="467"/>
      <c r="Z11" s="541"/>
      <c r="AA11" s="467"/>
      <c r="AB11" s="467"/>
      <c r="AC11" s="467"/>
      <c r="AD11" s="541"/>
      <c r="AE11" s="467"/>
      <c r="AF11" s="467"/>
      <c r="AG11" s="467"/>
      <c r="AH11" s="467"/>
      <c r="AI11" s="556"/>
      <c r="AJ11" s="96"/>
    </row>
    <row r="12" spans="1:37" ht="15.75" customHeight="1" x14ac:dyDescent="0.25">
      <c r="A12" s="87" t="s">
        <v>12</v>
      </c>
      <c r="B12" s="169" t="s">
        <v>98</v>
      </c>
      <c r="C12" s="482">
        <v>2778807</v>
      </c>
      <c r="D12" s="503"/>
      <c r="E12" s="399"/>
      <c r="F12" s="76"/>
      <c r="G12" s="78"/>
      <c r="H12" s="78"/>
      <c r="I12" s="78"/>
      <c r="J12" s="76"/>
      <c r="K12" s="399"/>
      <c r="L12" s="399"/>
      <c r="M12" s="78"/>
      <c r="N12" s="76"/>
      <c r="O12" s="78"/>
      <c r="P12" s="78"/>
      <c r="Q12" s="399"/>
      <c r="R12" s="76"/>
      <c r="S12" s="403"/>
      <c r="T12" s="499"/>
      <c r="U12" s="499"/>
      <c r="V12" s="76"/>
      <c r="W12" s="499"/>
      <c r="X12" s="499"/>
      <c r="Y12" s="499"/>
      <c r="Z12" s="76"/>
      <c r="AA12" s="401"/>
      <c r="AB12" s="401"/>
      <c r="AC12" s="499"/>
      <c r="AD12" s="76"/>
      <c r="AE12" s="499"/>
      <c r="AF12" s="78"/>
      <c r="AG12" s="499"/>
      <c r="AH12" s="499"/>
      <c r="AI12" s="557"/>
      <c r="AJ12" s="96"/>
    </row>
    <row r="13" spans="1:37" ht="15.75" customHeight="1" x14ac:dyDescent="0.25">
      <c r="A13" s="87" t="s">
        <v>50</v>
      </c>
      <c r="B13" s="169" t="s">
        <v>98</v>
      </c>
      <c r="C13" s="483">
        <v>3037517</v>
      </c>
      <c r="D13" s="504"/>
      <c r="E13" s="399"/>
      <c r="F13" s="543"/>
      <c r="G13" s="407"/>
      <c r="H13" s="407"/>
      <c r="I13" s="409"/>
      <c r="J13" s="543"/>
      <c r="K13" s="399"/>
      <c r="L13" s="407"/>
      <c r="M13" s="409"/>
      <c r="N13" s="543"/>
      <c r="O13" s="403"/>
      <c r="P13" s="403"/>
      <c r="Q13" s="399"/>
      <c r="R13" s="543"/>
      <c r="S13" s="399"/>
      <c r="T13" s="401"/>
      <c r="U13" s="512"/>
      <c r="V13" s="543"/>
      <c r="W13" s="467"/>
      <c r="X13" s="401"/>
      <c r="Y13" s="512"/>
      <c r="Z13" s="543"/>
      <c r="AA13" s="467"/>
      <c r="AB13" s="78"/>
      <c r="AC13" s="512"/>
      <c r="AD13" s="543"/>
      <c r="AE13" s="415"/>
      <c r="AF13" s="499"/>
      <c r="AG13" s="499"/>
      <c r="AH13" s="512"/>
      <c r="AI13" s="558"/>
      <c r="AJ13" s="96"/>
    </row>
    <row r="14" spans="1:37" ht="15.75" customHeight="1" x14ac:dyDescent="0.25">
      <c r="A14" s="86" t="s">
        <v>55</v>
      </c>
      <c r="B14" s="169" t="s">
        <v>98</v>
      </c>
      <c r="C14" s="483">
        <v>3036260</v>
      </c>
      <c r="D14" s="504"/>
      <c r="E14" s="399"/>
      <c r="F14" s="543"/>
      <c r="G14" s="407"/>
      <c r="H14" s="407"/>
      <c r="I14" s="407"/>
      <c r="J14" s="543"/>
      <c r="K14" s="399"/>
      <c r="L14" s="407"/>
      <c r="M14" s="409"/>
      <c r="N14" s="543"/>
      <c r="O14" s="399"/>
      <c r="P14" s="399"/>
      <c r="Q14" s="399"/>
      <c r="R14" s="543"/>
      <c r="S14" s="399"/>
      <c r="T14" s="401"/>
      <c r="U14" s="512"/>
      <c r="V14" s="543"/>
      <c r="W14" s="401"/>
      <c r="X14" s="399"/>
      <c r="Y14" s="512"/>
      <c r="Z14" s="543"/>
      <c r="AA14" s="415"/>
      <c r="AB14" s="499"/>
      <c r="AC14" s="512"/>
      <c r="AD14" s="543"/>
      <c r="AE14" s="415"/>
      <c r="AF14" s="499"/>
      <c r="AG14" s="499"/>
      <c r="AH14" s="512"/>
      <c r="AI14" s="558"/>
      <c r="AJ14" s="96"/>
    </row>
    <row r="15" spans="1:37" ht="15.75" customHeight="1" x14ac:dyDescent="0.25">
      <c r="A15" s="88" t="s">
        <v>63</v>
      </c>
      <c r="B15" s="169" t="s">
        <v>97</v>
      </c>
      <c r="C15" s="483">
        <v>3038238</v>
      </c>
      <c r="D15" s="509"/>
      <c r="E15" s="441"/>
      <c r="F15" s="549"/>
      <c r="G15" s="403"/>
      <c r="H15" s="399"/>
      <c r="I15" s="413"/>
      <c r="J15" s="549"/>
      <c r="K15" s="413"/>
      <c r="L15" s="413"/>
      <c r="M15" s="413"/>
      <c r="N15" s="549"/>
      <c r="O15" s="399"/>
      <c r="P15" s="399"/>
      <c r="Q15" s="407"/>
      <c r="R15" s="549"/>
      <c r="S15" s="403"/>
      <c r="T15" s="403"/>
      <c r="U15" s="352"/>
      <c r="V15" s="549"/>
      <c r="W15" s="399"/>
      <c r="X15" s="499"/>
      <c r="Y15" s="352"/>
      <c r="Z15" s="549"/>
      <c r="AA15" s="415"/>
      <c r="AB15" s="499"/>
      <c r="AC15" s="352"/>
      <c r="AD15" s="549"/>
      <c r="AE15" s="415"/>
      <c r="AF15" s="499"/>
      <c r="AG15" s="499"/>
      <c r="AH15" s="352"/>
      <c r="AI15" s="559"/>
      <c r="AJ15" s="96"/>
      <c r="AK15" s="66" t="s">
        <v>37</v>
      </c>
    </row>
    <row r="16" spans="1:37" ht="15.75" customHeight="1" x14ac:dyDescent="0.25">
      <c r="A16" s="88" t="s">
        <v>56</v>
      </c>
      <c r="B16" s="169" t="s">
        <v>97</v>
      </c>
      <c r="C16" s="482">
        <v>3036278</v>
      </c>
      <c r="D16" s="504"/>
      <c r="E16" s="407"/>
      <c r="F16" s="543"/>
      <c r="G16" s="399"/>
      <c r="H16" s="399"/>
      <c r="I16" s="407"/>
      <c r="J16" s="543"/>
      <c r="K16" s="407"/>
      <c r="L16" s="399"/>
      <c r="M16" s="407"/>
      <c r="N16" s="543"/>
      <c r="O16" s="399"/>
      <c r="P16" s="399"/>
      <c r="Q16" s="407"/>
      <c r="R16" s="543"/>
      <c r="S16" s="399"/>
      <c r="T16" s="401"/>
      <c r="U16" s="415"/>
      <c r="V16" s="543"/>
      <c r="W16" s="399"/>
      <c r="X16" s="415"/>
      <c r="Y16" s="415"/>
      <c r="Z16" s="543"/>
      <c r="AA16" s="415"/>
      <c r="AB16" s="415"/>
      <c r="AC16" s="415"/>
      <c r="AD16" s="543"/>
      <c r="AE16" s="415"/>
      <c r="AF16" s="415"/>
      <c r="AG16" s="415"/>
      <c r="AH16" s="415"/>
      <c r="AI16" s="558"/>
    </row>
    <row r="17" spans="1:37" ht="15.75" customHeight="1" thickBot="1" x14ac:dyDescent="0.3">
      <c r="A17" s="93" t="s">
        <v>77</v>
      </c>
      <c r="B17" s="170" t="s">
        <v>98</v>
      </c>
      <c r="C17" s="486">
        <v>3036456</v>
      </c>
      <c r="D17" s="560"/>
      <c r="E17" s="500"/>
      <c r="F17" s="561"/>
      <c r="G17" s="562"/>
      <c r="H17" s="500"/>
      <c r="I17" s="500"/>
      <c r="J17" s="561"/>
      <c r="K17" s="445"/>
      <c r="L17" s="500"/>
      <c r="M17" s="500"/>
      <c r="N17" s="561"/>
      <c r="O17" s="500"/>
      <c r="P17" s="500"/>
      <c r="Q17" s="500"/>
      <c r="R17" s="561"/>
      <c r="S17" s="445"/>
      <c r="T17" s="563"/>
      <c r="U17" s="563"/>
      <c r="V17" s="561"/>
      <c r="W17" s="563"/>
      <c r="X17" s="563"/>
      <c r="Y17" s="563"/>
      <c r="Z17" s="561"/>
      <c r="AA17" s="564"/>
      <c r="AB17" s="564"/>
      <c r="AC17" s="563"/>
      <c r="AD17" s="561"/>
      <c r="AE17" s="500"/>
      <c r="AF17" s="500"/>
      <c r="AG17" s="565"/>
      <c r="AH17" s="563"/>
      <c r="AI17" s="566"/>
    </row>
    <row r="18" spans="1:37" ht="15.75" customHeight="1" thickBot="1" x14ac:dyDescent="0.3">
      <c r="A18" s="178"/>
      <c r="B18" s="179"/>
      <c r="C18" s="476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4"/>
    </row>
    <row r="19" spans="1:37" ht="15.75" customHeight="1" x14ac:dyDescent="0.2">
      <c r="A19" s="1116" t="s">
        <v>8</v>
      </c>
      <c r="B19" s="1118" t="s">
        <v>34</v>
      </c>
      <c r="C19" s="1130" t="s">
        <v>17</v>
      </c>
      <c r="D19" s="191" t="s">
        <v>4</v>
      </c>
      <c r="E19" s="125" t="s">
        <v>4</v>
      </c>
      <c r="F19" s="393" t="s">
        <v>2</v>
      </c>
      <c r="G19" s="84" t="s">
        <v>2</v>
      </c>
      <c r="H19" s="84" t="s">
        <v>1</v>
      </c>
      <c r="I19" s="125" t="s">
        <v>2</v>
      </c>
      <c r="J19" s="125" t="s">
        <v>3</v>
      </c>
      <c r="K19" s="191" t="s">
        <v>4</v>
      </c>
      <c r="L19" s="125" t="s">
        <v>4</v>
      </c>
      <c r="M19" s="393" t="s">
        <v>2</v>
      </c>
      <c r="N19" s="84" t="s">
        <v>2</v>
      </c>
      <c r="O19" s="84" t="s">
        <v>1</v>
      </c>
      <c r="P19" s="125" t="s">
        <v>2</v>
      </c>
      <c r="Q19" s="125" t="s">
        <v>3</v>
      </c>
      <c r="R19" s="191" t="s">
        <v>4</v>
      </c>
      <c r="S19" s="125" t="s">
        <v>4</v>
      </c>
      <c r="T19" s="393" t="s">
        <v>2</v>
      </c>
      <c r="U19" s="84" t="s">
        <v>2</v>
      </c>
      <c r="V19" s="84" t="s">
        <v>1</v>
      </c>
      <c r="W19" s="125" t="s">
        <v>2</v>
      </c>
      <c r="X19" s="125" t="s">
        <v>3</v>
      </c>
      <c r="Y19" s="191" t="s">
        <v>4</v>
      </c>
      <c r="Z19" s="125" t="s">
        <v>4</v>
      </c>
      <c r="AA19" s="393" t="s">
        <v>2</v>
      </c>
      <c r="AB19" s="84" t="s">
        <v>2</v>
      </c>
      <c r="AC19" s="84" t="s">
        <v>1</v>
      </c>
      <c r="AD19" s="125" t="s">
        <v>2</v>
      </c>
      <c r="AE19" s="125" t="s">
        <v>3</v>
      </c>
      <c r="AF19" s="393" t="s">
        <v>4</v>
      </c>
      <c r="AG19" s="394"/>
      <c r="AH19" s="393" t="s">
        <v>4</v>
      </c>
      <c r="AI19" s="458" t="s">
        <v>2</v>
      </c>
    </row>
    <row r="20" spans="1:37" ht="15.75" customHeight="1" thickBot="1" x14ac:dyDescent="0.25">
      <c r="A20" s="1117"/>
      <c r="B20" s="1119"/>
      <c r="C20" s="1131"/>
      <c r="D20" s="196">
        <v>1</v>
      </c>
      <c r="E20" s="126">
        <f t="shared" ref="E20:AG20" si="1">D20+1</f>
        <v>2</v>
      </c>
      <c r="F20" s="126">
        <f t="shared" si="1"/>
        <v>3</v>
      </c>
      <c r="G20" s="444">
        <f t="shared" si="1"/>
        <v>4</v>
      </c>
      <c r="H20" s="444">
        <f t="shared" si="1"/>
        <v>5</v>
      </c>
      <c r="I20" s="126">
        <f t="shared" si="1"/>
        <v>6</v>
      </c>
      <c r="J20" s="126">
        <f t="shared" si="1"/>
        <v>7</v>
      </c>
      <c r="K20" s="126">
        <f t="shared" si="1"/>
        <v>8</v>
      </c>
      <c r="L20" s="126">
        <f t="shared" si="1"/>
        <v>9</v>
      </c>
      <c r="M20" s="126">
        <f t="shared" si="1"/>
        <v>10</v>
      </c>
      <c r="N20" s="444">
        <f t="shared" si="1"/>
        <v>11</v>
      </c>
      <c r="O20" s="444">
        <f t="shared" si="1"/>
        <v>12</v>
      </c>
      <c r="P20" s="126">
        <f t="shared" si="1"/>
        <v>13</v>
      </c>
      <c r="Q20" s="126">
        <f t="shared" si="1"/>
        <v>14</v>
      </c>
      <c r="R20" s="126">
        <f t="shared" si="1"/>
        <v>15</v>
      </c>
      <c r="S20" s="126">
        <f t="shared" si="1"/>
        <v>16</v>
      </c>
      <c r="T20" s="126">
        <f t="shared" si="1"/>
        <v>17</v>
      </c>
      <c r="U20" s="444">
        <f t="shared" si="1"/>
        <v>18</v>
      </c>
      <c r="V20" s="444">
        <f t="shared" si="1"/>
        <v>19</v>
      </c>
      <c r="W20" s="126">
        <f t="shared" si="1"/>
        <v>20</v>
      </c>
      <c r="X20" s="126">
        <f t="shared" si="1"/>
        <v>21</v>
      </c>
      <c r="Y20" s="126">
        <f t="shared" si="1"/>
        <v>22</v>
      </c>
      <c r="Z20" s="126">
        <f t="shared" si="1"/>
        <v>23</v>
      </c>
      <c r="AA20" s="126">
        <f t="shared" si="1"/>
        <v>24</v>
      </c>
      <c r="AB20" s="444">
        <f t="shared" si="1"/>
        <v>25</v>
      </c>
      <c r="AC20" s="444">
        <f t="shared" si="1"/>
        <v>26</v>
      </c>
      <c r="AD20" s="126">
        <f t="shared" si="1"/>
        <v>27</v>
      </c>
      <c r="AE20" s="126">
        <f t="shared" si="1"/>
        <v>28</v>
      </c>
      <c r="AF20" s="126">
        <f t="shared" si="1"/>
        <v>29</v>
      </c>
      <c r="AG20" s="126">
        <f t="shared" si="1"/>
        <v>30</v>
      </c>
      <c r="AH20" s="126">
        <v>30</v>
      </c>
      <c r="AI20" s="459">
        <f>AH20+1</f>
        <v>31</v>
      </c>
    </row>
    <row r="21" spans="1:37" ht="15.75" customHeight="1" x14ac:dyDescent="0.2">
      <c r="A21" s="297" t="s">
        <v>109</v>
      </c>
      <c r="B21" s="480" t="s">
        <v>32</v>
      </c>
      <c r="C21" s="487">
        <v>899700</v>
      </c>
      <c r="D21" s="514"/>
      <c r="E21" s="395"/>
      <c r="F21" s="520"/>
      <c r="G21" s="551"/>
      <c r="H21" s="520"/>
      <c r="I21" s="520"/>
      <c r="J21" s="520"/>
      <c r="K21" s="551"/>
      <c r="L21" s="520"/>
      <c r="M21" s="520"/>
      <c r="N21" s="520"/>
      <c r="O21" s="551"/>
      <c r="P21" s="520"/>
      <c r="Q21" s="520"/>
      <c r="R21" s="396"/>
      <c r="S21" s="551"/>
      <c r="T21" s="396"/>
      <c r="U21" s="395"/>
      <c r="V21" s="396"/>
      <c r="W21" s="551"/>
      <c r="X21" s="395"/>
      <c r="Y21" s="396"/>
      <c r="Z21" s="396"/>
      <c r="AA21" s="551"/>
      <c r="AB21" s="396"/>
      <c r="AC21" s="396"/>
      <c r="AD21" s="396"/>
      <c r="AE21" s="551"/>
      <c r="AF21" s="396"/>
      <c r="AG21" s="395"/>
      <c r="AH21" s="395"/>
      <c r="AI21" s="521"/>
      <c r="AK21" s="1" t="s">
        <v>37</v>
      </c>
    </row>
    <row r="22" spans="1:37" ht="15.75" customHeight="1" x14ac:dyDescent="0.25">
      <c r="A22" s="91" t="s">
        <v>110</v>
      </c>
      <c r="B22" s="392" t="s">
        <v>32</v>
      </c>
      <c r="C22" s="482">
        <v>899607</v>
      </c>
      <c r="D22" s="502"/>
      <c r="E22" s="399"/>
      <c r="F22" s="401"/>
      <c r="G22" s="540"/>
      <c r="H22" s="401"/>
      <c r="I22" s="399"/>
      <c r="J22" s="401"/>
      <c r="K22" s="540"/>
      <c r="L22" s="399"/>
      <c r="M22" s="401"/>
      <c r="N22" s="401"/>
      <c r="O22" s="540"/>
      <c r="P22" s="401"/>
      <c r="Q22" s="399"/>
      <c r="R22" s="401"/>
      <c r="S22" s="540"/>
      <c r="T22" s="399"/>
      <c r="U22" s="401"/>
      <c r="V22" s="401"/>
      <c r="W22" s="540"/>
      <c r="X22" s="401"/>
      <c r="Y22" s="399"/>
      <c r="Z22" s="401"/>
      <c r="AA22" s="540"/>
      <c r="AB22" s="399"/>
      <c r="AC22" s="401"/>
      <c r="AD22" s="401"/>
      <c r="AE22" s="540"/>
      <c r="AF22" s="399"/>
      <c r="AG22" s="401"/>
      <c r="AH22" s="401"/>
      <c r="AI22" s="522"/>
    </row>
    <row r="23" spans="1:37" ht="15.75" customHeight="1" x14ac:dyDescent="0.2">
      <c r="A23" s="88" t="s">
        <v>108</v>
      </c>
      <c r="B23" s="169" t="s">
        <v>97</v>
      </c>
      <c r="C23" s="483">
        <v>2778459</v>
      </c>
      <c r="D23" s="504"/>
      <c r="E23" s="407"/>
      <c r="F23" s="407"/>
      <c r="G23" s="543"/>
      <c r="H23" s="407"/>
      <c r="I23" s="407"/>
      <c r="J23" s="407"/>
      <c r="K23" s="543"/>
      <c r="L23" s="407"/>
      <c r="M23" s="407"/>
      <c r="N23" s="407"/>
      <c r="O23" s="543"/>
      <c r="P23" s="407"/>
      <c r="Q23" s="407"/>
      <c r="R23" s="401"/>
      <c r="S23" s="543"/>
      <c r="T23" s="399"/>
      <c r="U23" s="401"/>
      <c r="V23" s="401"/>
      <c r="W23" s="543"/>
      <c r="X23" s="401"/>
      <c r="Y23" s="401"/>
      <c r="Z23" s="401"/>
      <c r="AA23" s="543"/>
      <c r="AB23" s="401"/>
      <c r="AC23" s="399"/>
      <c r="AD23" s="401"/>
      <c r="AE23" s="543"/>
      <c r="AF23" s="399"/>
      <c r="AG23" s="401"/>
      <c r="AH23" s="401"/>
      <c r="AI23" s="522"/>
    </row>
    <row r="24" spans="1:37" ht="15.75" customHeight="1" x14ac:dyDescent="0.25">
      <c r="A24" s="86" t="s">
        <v>52</v>
      </c>
      <c r="B24" s="169" t="s">
        <v>98</v>
      </c>
      <c r="C24" s="483">
        <v>3037754</v>
      </c>
      <c r="D24" s="503"/>
      <c r="E24" s="399"/>
      <c r="F24" s="415"/>
      <c r="G24" s="542"/>
      <c r="H24" s="399"/>
      <c r="I24" s="399"/>
      <c r="J24" s="415"/>
      <c r="K24" s="542"/>
      <c r="L24" s="415"/>
      <c r="M24" s="415"/>
      <c r="N24" s="415"/>
      <c r="O24" s="542"/>
      <c r="P24" s="399"/>
      <c r="Q24" s="399"/>
      <c r="R24" s="78"/>
      <c r="S24" s="542"/>
      <c r="T24" s="406"/>
      <c r="U24" s="406"/>
      <c r="V24" s="406"/>
      <c r="W24" s="542"/>
      <c r="X24" s="406"/>
      <c r="Y24" s="406"/>
      <c r="Z24" s="406"/>
      <c r="AA24" s="542"/>
      <c r="AB24" s="399"/>
      <c r="AC24" s="401"/>
      <c r="AD24" s="406"/>
      <c r="AE24" s="542"/>
      <c r="AF24" s="78"/>
      <c r="AG24" s="406"/>
      <c r="AH24" s="406"/>
      <c r="AI24" s="523"/>
    </row>
    <row r="25" spans="1:37" ht="15.75" customHeight="1" x14ac:dyDescent="0.25">
      <c r="A25" s="89" t="s">
        <v>54</v>
      </c>
      <c r="B25" s="169" t="s">
        <v>98</v>
      </c>
      <c r="C25" s="482">
        <v>3038840</v>
      </c>
      <c r="D25" s="504"/>
      <c r="E25" s="399"/>
      <c r="F25" s="407"/>
      <c r="G25" s="543"/>
      <c r="H25" s="399"/>
      <c r="I25" s="409"/>
      <c r="J25" s="407"/>
      <c r="K25" s="543"/>
      <c r="L25" s="399"/>
      <c r="M25" s="401"/>
      <c r="N25" s="407"/>
      <c r="O25" s="543"/>
      <c r="P25" s="399"/>
      <c r="Q25" s="399"/>
      <c r="R25" s="399"/>
      <c r="S25" s="543"/>
      <c r="T25" s="399"/>
      <c r="U25" s="409"/>
      <c r="V25" s="406"/>
      <c r="W25" s="543"/>
      <c r="X25" s="399"/>
      <c r="Y25" s="399"/>
      <c r="Z25" s="406"/>
      <c r="AA25" s="543"/>
      <c r="AB25" s="406"/>
      <c r="AC25" s="409"/>
      <c r="AD25" s="406"/>
      <c r="AE25" s="543"/>
      <c r="AF25" s="406"/>
      <c r="AG25" s="406"/>
      <c r="AH25" s="409"/>
      <c r="AI25" s="524"/>
    </row>
    <row r="26" spans="1:37" ht="15.75" customHeight="1" x14ac:dyDescent="0.25">
      <c r="A26" s="90" t="s">
        <v>72</v>
      </c>
      <c r="B26" s="169" t="s">
        <v>97</v>
      </c>
      <c r="C26" s="488">
        <v>3143805</v>
      </c>
      <c r="D26" s="504"/>
      <c r="E26" s="399"/>
      <c r="F26" s="407"/>
      <c r="G26" s="543"/>
      <c r="H26" s="399"/>
      <c r="I26" s="409"/>
      <c r="J26" s="407"/>
      <c r="K26" s="543"/>
      <c r="L26" s="399"/>
      <c r="M26" s="399"/>
      <c r="N26" s="407"/>
      <c r="O26" s="543"/>
      <c r="P26" s="399"/>
      <c r="Q26" s="399"/>
      <c r="R26" s="399"/>
      <c r="S26" s="543"/>
      <c r="T26" s="399"/>
      <c r="U26" s="409"/>
      <c r="V26" s="406"/>
      <c r="W26" s="543"/>
      <c r="X26" s="399"/>
      <c r="Y26" s="401"/>
      <c r="Z26" s="406"/>
      <c r="AA26" s="543"/>
      <c r="AB26" s="406"/>
      <c r="AC26" s="409"/>
      <c r="AD26" s="406"/>
      <c r="AE26" s="543"/>
      <c r="AF26" s="406"/>
      <c r="AG26" s="406"/>
      <c r="AH26" s="409"/>
      <c r="AI26" s="524"/>
    </row>
    <row r="27" spans="1:37" ht="15.75" customHeight="1" x14ac:dyDescent="0.25">
      <c r="A27" s="89" t="s">
        <v>40</v>
      </c>
      <c r="B27" s="169" t="s">
        <v>98</v>
      </c>
      <c r="C27" s="482">
        <v>3037703</v>
      </c>
      <c r="D27" s="504"/>
      <c r="E27" s="399"/>
      <c r="F27" s="407"/>
      <c r="G27" s="543"/>
      <c r="H27" s="399"/>
      <c r="I27" s="399"/>
      <c r="J27" s="407"/>
      <c r="K27" s="543"/>
      <c r="L27" s="407"/>
      <c r="M27" s="409"/>
      <c r="N27" s="407"/>
      <c r="O27" s="543"/>
      <c r="P27" s="399"/>
      <c r="Q27" s="401"/>
      <c r="R27" s="407"/>
      <c r="S27" s="543"/>
      <c r="T27" s="407"/>
      <c r="U27" s="407"/>
      <c r="V27" s="407"/>
      <c r="W27" s="543"/>
      <c r="X27" s="407"/>
      <c r="Y27" s="407"/>
      <c r="Z27" s="407"/>
      <c r="AA27" s="543"/>
      <c r="AB27" s="407"/>
      <c r="AC27" s="407"/>
      <c r="AD27" s="407"/>
      <c r="AE27" s="543"/>
      <c r="AF27" s="407"/>
      <c r="AG27" s="407"/>
      <c r="AH27" s="407"/>
      <c r="AI27" s="515"/>
    </row>
    <row r="28" spans="1:37" ht="15.75" customHeight="1" x14ac:dyDescent="0.25">
      <c r="A28" s="86" t="s">
        <v>117</v>
      </c>
      <c r="B28" s="169" t="s">
        <v>98</v>
      </c>
      <c r="C28" s="489">
        <v>3082911</v>
      </c>
      <c r="D28" s="504"/>
      <c r="E28" s="407"/>
      <c r="F28" s="407"/>
      <c r="G28" s="543"/>
      <c r="H28" s="407"/>
      <c r="I28" s="407"/>
      <c r="J28" s="407"/>
      <c r="K28" s="543"/>
      <c r="L28" s="407"/>
      <c r="M28" s="407"/>
      <c r="N28" s="407"/>
      <c r="O28" s="543"/>
      <c r="P28" s="407"/>
      <c r="Q28" s="399"/>
      <c r="R28" s="399"/>
      <c r="S28" s="543"/>
      <c r="T28" s="78"/>
      <c r="U28" s="399"/>
      <c r="V28" s="399"/>
      <c r="W28" s="543"/>
      <c r="X28" s="78"/>
      <c r="Y28" s="399"/>
      <c r="Z28" s="78"/>
      <c r="AA28" s="543"/>
      <c r="AB28" s="78"/>
      <c r="AC28" s="78"/>
      <c r="AD28" s="78"/>
      <c r="AE28" s="543"/>
      <c r="AF28" s="78"/>
      <c r="AG28" s="78"/>
      <c r="AH28" s="78"/>
      <c r="AI28" s="525"/>
    </row>
    <row r="29" spans="1:37" ht="15.75" customHeight="1" x14ac:dyDescent="0.25">
      <c r="A29" s="89" t="s">
        <v>84</v>
      </c>
      <c r="B29" s="169" t="s">
        <v>97</v>
      </c>
      <c r="C29" s="485">
        <v>2967316</v>
      </c>
      <c r="D29" s="503"/>
      <c r="E29" s="399"/>
      <c r="F29" s="407"/>
      <c r="G29" s="543"/>
      <c r="H29" s="415"/>
      <c r="I29" s="407"/>
      <c r="J29" s="399"/>
      <c r="K29" s="543"/>
      <c r="L29" s="399"/>
      <c r="M29" s="407"/>
      <c r="N29" s="407"/>
      <c r="O29" s="543"/>
      <c r="P29" s="399"/>
      <c r="Q29" s="399"/>
      <c r="R29" s="407"/>
      <c r="S29" s="543"/>
      <c r="T29" s="407"/>
      <c r="U29" s="407"/>
      <c r="V29" s="407"/>
      <c r="W29" s="543"/>
      <c r="X29" s="407"/>
      <c r="Y29" s="407"/>
      <c r="Z29" s="407"/>
      <c r="AA29" s="543"/>
      <c r="AB29" s="407"/>
      <c r="AC29" s="407"/>
      <c r="AD29" s="407"/>
      <c r="AE29" s="543"/>
      <c r="AF29" s="407"/>
      <c r="AG29" s="407"/>
      <c r="AH29" s="407"/>
      <c r="AI29" s="515"/>
    </row>
    <row r="30" spans="1:37" ht="15.75" customHeight="1" x14ac:dyDescent="0.25">
      <c r="A30" s="89" t="s">
        <v>78</v>
      </c>
      <c r="B30" s="169" t="s">
        <v>97</v>
      </c>
      <c r="C30" s="485">
        <v>2500892</v>
      </c>
      <c r="D30" s="504"/>
      <c r="E30" s="399"/>
      <c r="F30" s="407"/>
      <c r="G30" s="543"/>
      <c r="H30" s="407"/>
      <c r="I30" s="399"/>
      <c r="J30" s="399"/>
      <c r="K30" s="543"/>
      <c r="L30" s="399"/>
      <c r="M30" s="399"/>
      <c r="N30" s="407"/>
      <c r="O30" s="543"/>
      <c r="P30" s="407"/>
      <c r="Q30" s="407"/>
      <c r="R30" s="78"/>
      <c r="S30" s="543"/>
      <c r="T30" s="399"/>
      <c r="U30" s="399"/>
      <c r="V30" s="78"/>
      <c r="W30" s="543"/>
      <c r="X30" s="78"/>
      <c r="Y30" s="78"/>
      <c r="Z30" s="78"/>
      <c r="AA30" s="543"/>
      <c r="AB30" s="78"/>
      <c r="AC30" s="78"/>
      <c r="AD30" s="78"/>
      <c r="AE30" s="543"/>
      <c r="AF30" s="78"/>
      <c r="AG30" s="78"/>
      <c r="AH30" s="78"/>
      <c r="AI30" s="525"/>
    </row>
    <row r="31" spans="1:37" ht="15.75" customHeight="1" x14ac:dyDescent="0.25">
      <c r="A31" s="89" t="s">
        <v>79</v>
      </c>
      <c r="B31" s="478" t="s">
        <v>97</v>
      </c>
      <c r="C31" s="488">
        <v>3133923</v>
      </c>
      <c r="D31" s="502"/>
      <c r="E31" s="399"/>
      <c r="F31" s="407"/>
      <c r="G31" s="543"/>
      <c r="H31" s="404"/>
      <c r="I31" s="399"/>
      <c r="J31" s="399"/>
      <c r="K31" s="543"/>
      <c r="L31" s="399"/>
      <c r="M31" s="399"/>
      <c r="N31" s="407"/>
      <c r="O31" s="543"/>
      <c r="P31" s="399"/>
      <c r="Q31" s="399"/>
      <c r="R31" s="415"/>
      <c r="S31" s="543"/>
      <c r="T31" s="517"/>
      <c r="U31" s="517"/>
      <c r="V31" s="517"/>
      <c r="W31" s="543"/>
      <c r="X31" s="517"/>
      <c r="Y31" s="517"/>
      <c r="Z31" s="517"/>
      <c r="AA31" s="543"/>
      <c r="AB31" s="517"/>
      <c r="AC31" s="517"/>
      <c r="AD31" s="517"/>
      <c r="AE31" s="543"/>
      <c r="AF31" s="517"/>
      <c r="AG31" s="517"/>
      <c r="AH31" s="517"/>
      <c r="AI31" s="526"/>
    </row>
    <row r="32" spans="1:37" ht="15.75" customHeight="1" thickBot="1" x14ac:dyDescent="0.3">
      <c r="A32" s="518" t="s">
        <v>61</v>
      </c>
      <c r="B32" s="170" t="s">
        <v>97</v>
      </c>
      <c r="C32" s="519">
        <v>3370186</v>
      </c>
      <c r="D32" s="505"/>
      <c r="E32" s="423"/>
      <c r="F32" s="423"/>
      <c r="G32" s="546"/>
      <c r="H32" s="423"/>
      <c r="I32" s="423"/>
      <c r="J32" s="423"/>
      <c r="K32" s="546"/>
      <c r="L32" s="423"/>
      <c r="M32" s="423"/>
      <c r="N32" s="423"/>
      <c r="O32" s="546"/>
      <c r="P32" s="423"/>
      <c r="Q32" s="423"/>
      <c r="R32" s="432"/>
      <c r="S32" s="546"/>
      <c r="T32" s="424"/>
      <c r="U32" s="424"/>
      <c r="V32" s="432"/>
      <c r="W32" s="546"/>
      <c r="X32" s="423"/>
      <c r="Y32" s="424"/>
      <c r="Z32" s="423"/>
      <c r="AA32" s="546"/>
      <c r="AB32" s="424"/>
      <c r="AC32" s="424"/>
      <c r="AD32" s="423"/>
      <c r="AE32" s="546"/>
      <c r="AF32" s="117"/>
      <c r="AG32" s="501"/>
      <c r="AH32" s="424"/>
      <c r="AI32" s="527"/>
    </row>
    <row r="33" spans="1:51" ht="15.75" customHeight="1" thickBot="1" x14ac:dyDescent="0.3">
      <c r="A33" s="178"/>
      <c r="B33" s="179"/>
      <c r="C33" s="183"/>
      <c r="D33" s="433"/>
      <c r="E33" s="434"/>
      <c r="F33" s="433"/>
      <c r="G33" s="433"/>
      <c r="H33" s="433"/>
      <c r="I33" s="58"/>
      <c r="J33" s="435"/>
      <c r="K33" s="433"/>
      <c r="L33" s="433"/>
      <c r="M33" s="433"/>
      <c r="N33" s="435"/>
      <c r="O33" s="433"/>
      <c r="P33" s="433"/>
      <c r="Q33" s="433"/>
      <c r="R33" s="435"/>
      <c r="S33" s="58"/>
      <c r="T33" s="58"/>
      <c r="U33" s="58"/>
      <c r="V33" s="435"/>
      <c r="W33" s="58"/>
      <c r="X33" s="58"/>
      <c r="Y33" s="58"/>
      <c r="Z33" s="435"/>
      <c r="AA33" s="58"/>
      <c r="AB33" s="58"/>
      <c r="AC33" s="58"/>
      <c r="AD33" s="435"/>
      <c r="AE33" s="58"/>
      <c r="AF33" s="58"/>
      <c r="AG33" s="4"/>
      <c r="AH33" s="436"/>
      <c r="AI33" s="4"/>
    </row>
    <row r="34" spans="1:51" ht="15.75" customHeight="1" x14ac:dyDescent="0.2">
      <c r="A34" s="1109" t="s">
        <v>5</v>
      </c>
      <c r="B34" s="1099" t="s">
        <v>34</v>
      </c>
      <c r="C34" s="1132" t="s">
        <v>17</v>
      </c>
      <c r="D34" s="191" t="s">
        <v>4</v>
      </c>
      <c r="E34" s="125" t="s">
        <v>4</v>
      </c>
      <c r="F34" s="393" t="s">
        <v>2</v>
      </c>
      <c r="G34" s="84" t="s">
        <v>2</v>
      </c>
      <c r="H34" s="84" t="s">
        <v>1</v>
      </c>
      <c r="I34" s="125" t="s">
        <v>2</v>
      </c>
      <c r="J34" s="125" t="s">
        <v>3</v>
      </c>
      <c r="K34" s="191" t="s">
        <v>4</v>
      </c>
      <c r="L34" s="125" t="s">
        <v>4</v>
      </c>
      <c r="M34" s="393" t="s">
        <v>2</v>
      </c>
      <c r="N34" s="84" t="s">
        <v>2</v>
      </c>
      <c r="O34" s="84" t="s">
        <v>1</v>
      </c>
      <c r="P34" s="125" t="s">
        <v>2</v>
      </c>
      <c r="Q34" s="125" t="s">
        <v>3</v>
      </c>
      <c r="R34" s="191" t="s">
        <v>4</v>
      </c>
      <c r="S34" s="125" t="s">
        <v>4</v>
      </c>
      <c r="T34" s="393" t="s">
        <v>2</v>
      </c>
      <c r="U34" s="84" t="s">
        <v>2</v>
      </c>
      <c r="V34" s="84" t="s">
        <v>1</v>
      </c>
      <c r="W34" s="125" t="s">
        <v>2</v>
      </c>
      <c r="X34" s="125" t="s">
        <v>3</v>
      </c>
      <c r="Y34" s="191" t="s">
        <v>4</v>
      </c>
      <c r="Z34" s="125" t="s">
        <v>4</v>
      </c>
      <c r="AA34" s="393" t="s">
        <v>2</v>
      </c>
      <c r="AB34" s="84" t="s">
        <v>2</v>
      </c>
      <c r="AC34" s="84" t="s">
        <v>1</v>
      </c>
      <c r="AD34" s="125" t="s">
        <v>2</v>
      </c>
      <c r="AE34" s="125" t="s">
        <v>3</v>
      </c>
      <c r="AF34" s="393" t="s">
        <v>4</v>
      </c>
      <c r="AG34" s="394"/>
      <c r="AH34" s="393" t="s">
        <v>4</v>
      </c>
      <c r="AI34" s="458" t="s">
        <v>2</v>
      </c>
    </row>
    <row r="35" spans="1:51" ht="15.75" customHeight="1" thickBot="1" x14ac:dyDescent="0.25">
      <c r="A35" s="1110"/>
      <c r="B35" s="1100"/>
      <c r="C35" s="1133"/>
      <c r="D35" s="237">
        <v>1</v>
      </c>
      <c r="E35" s="139">
        <f t="shared" ref="E35:AG35" si="2">D35+1</f>
        <v>2</v>
      </c>
      <c r="F35" s="139">
        <f t="shared" si="2"/>
        <v>3</v>
      </c>
      <c r="G35" s="510">
        <f t="shared" si="2"/>
        <v>4</v>
      </c>
      <c r="H35" s="510">
        <f t="shared" si="2"/>
        <v>5</v>
      </c>
      <c r="I35" s="139">
        <f t="shared" si="2"/>
        <v>6</v>
      </c>
      <c r="J35" s="139">
        <f t="shared" si="2"/>
        <v>7</v>
      </c>
      <c r="K35" s="139">
        <f t="shared" si="2"/>
        <v>8</v>
      </c>
      <c r="L35" s="139">
        <f t="shared" si="2"/>
        <v>9</v>
      </c>
      <c r="M35" s="139">
        <f t="shared" si="2"/>
        <v>10</v>
      </c>
      <c r="N35" s="510">
        <f t="shared" si="2"/>
        <v>11</v>
      </c>
      <c r="O35" s="510">
        <f t="shared" si="2"/>
        <v>12</v>
      </c>
      <c r="P35" s="139">
        <f t="shared" si="2"/>
        <v>13</v>
      </c>
      <c r="Q35" s="139">
        <f t="shared" si="2"/>
        <v>14</v>
      </c>
      <c r="R35" s="139">
        <f t="shared" si="2"/>
        <v>15</v>
      </c>
      <c r="S35" s="139">
        <f t="shared" si="2"/>
        <v>16</v>
      </c>
      <c r="T35" s="139">
        <f t="shared" si="2"/>
        <v>17</v>
      </c>
      <c r="U35" s="510">
        <f t="shared" si="2"/>
        <v>18</v>
      </c>
      <c r="V35" s="510">
        <f t="shared" si="2"/>
        <v>19</v>
      </c>
      <c r="W35" s="139">
        <f t="shared" si="2"/>
        <v>20</v>
      </c>
      <c r="X35" s="139">
        <f t="shared" si="2"/>
        <v>21</v>
      </c>
      <c r="Y35" s="139">
        <f t="shared" si="2"/>
        <v>22</v>
      </c>
      <c r="Z35" s="139">
        <f t="shared" si="2"/>
        <v>23</v>
      </c>
      <c r="AA35" s="139">
        <f t="shared" si="2"/>
        <v>24</v>
      </c>
      <c r="AB35" s="510">
        <f t="shared" si="2"/>
        <v>25</v>
      </c>
      <c r="AC35" s="510">
        <f t="shared" si="2"/>
        <v>26</v>
      </c>
      <c r="AD35" s="139">
        <f t="shared" si="2"/>
        <v>27</v>
      </c>
      <c r="AE35" s="139">
        <f t="shared" si="2"/>
        <v>28</v>
      </c>
      <c r="AF35" s="139">
        <f t="shared" si="2"/>
        <v>29</v>
      </c>
      <c r="AG35" s="139">
        <f t="shared" si="2"/>
        <v>30</v>
      </c>
      <c r="AH35" s="139">
        <v>30</v>
      </c>
      <c r="AI35" s="516">
        <f>AH35+1</f>
        <v>31</v>
      </c>
    </row>
    <row r="36" spans="1:51" ht="15.75" customHeight="1" x14ac:dyDescent="0.25">
      <c r="A36" s="262" t="s">
        <v>111</v>
      </c>
      <c r="B36" s="480" t="s">
        <v>32</v>
      </c>
      <c r="C36" s="481">
        <v>902114</v>
      </c>
      <c r="D36" s="534"/>
      <c r="E36" s="395"/>
      <c r="F36" s="395"/>
      <c r="G36" s="396"/>
      <c r="H36" s="539"/>
      <c r="I36" s="395"/>
      <c r="J36" s="396"/>
      <c r="K36" s="396"/>
      <c r="L36" s="539"/>
      <c r="M36" s="395"/>
      <c r="N36" s="396"/>
      <c r="O36" s="396"/>
      <c r="P36" s="539"/>
      <c r="Q36" s="395"/>
      <c r="R36" s="396"/>
      <c r="S36" s="396"/>
      <c r="T36" s="539"/>
      <c r="U36" s="395"/>
      <c r="V36" s="396"/>
      <c r="W36" s="396"/>
      <c r="X36" s="539"/>
      <c r="Y36" s="396"/>
      <c r="Z36" s="395"/>
      <c r="AA36" s="396"/>
      <c r="AB36" s="539"/>
      <c r="AC36" s="396"/>
      <c r="AD36" s="396"/>
      <c r="AE36" s="396"/>
      <c r="AF36" s="539"/>
      <c r="AG36" s="396"/>
      <c r="AH36" s="395"/>
      <c r="AI36" s="528"/>
    </row>
    <row r="37" spans="1:51" ht="15.75" customHeight="1" x14ac:dyDescent="0.25">
      <c r="A37" s="88" t="s">
        <v>119</v>
      </c>
      <c r="B37" s="392" t="s">
        <v>32</v>
      </c>
      <c r="C37" s="484">
        <v>902801</v>
      </c>
      <c r="D37" s="535"/>
      <c r="E37" s="399"/>
      <c r="F37" s="399"/>
      <c r="G37" s="401"/>
      <c r="H37" s="540"/>
      <c r="I37" s="399"/>
      <c r="J37" s="399"/>
      <c r="K37" s="401"/>
      <c r="L37" s="540"/>
      <c r="M37" s="401"/>
      <c r="N37" s="401"/>
      <c r="O37" s="401"/>
      <c r="P37" s="540"/>
      <c r="Q37" s="399"/>
      <c r="R37" s="401"/>
      <c r="S37" s="401"/>
      <c r="T37" s="540"/>
      <c r="U37" s="401"/>
      <c r="V37" s="401"/>
      <c r="W37" s="401"/>
      <c r="X37" s="540"/>
      <c r="Y37" s="399"/>
      <c r="Z37" s="401"/>
      <c r="AA37" s="401"/>
      <c r="AB37" s="540"/>
      <c r="AC37" s="401"/>
      <c r="AD37" s="401"/>
      <c r="AE37" s="401"/>
      <c r="AF37" s="540"/>
      <c r="AG37" s="401"/>
      <c r="AH37" s="399"/>
      <c r="AI37" s="529"/>
    </row>
    <row r="38" spans="1:51" ht="15.75" customHeight="1" x14ac:dyDescent="0.25">
      <c r="A38" s="86" t="s">
        <v>14</v>
      </c>
      <c r="B38" s="169" t="s">
        <v>98</v>
      </c>
      <c r="C38" s="482">
        <v>2982390</v>
      </c>
      <c r="D38" s="535"/>
      <c r="E38" s="399"/>
      <c r="F38" s="399"/>
      <c r="G38" s="399"/>
      <c r="H38" s="541"/>
      <c r="I38" s="399"/>
      <c r="J38" s="401"/>
      <c r="K38" s="399"/>
      <c r="L38" s="541"/>
      <c r="M38" s="399"/>
      <c r="N38" s="399"/>
      <c r="O38" s="399"/>
      <c r="P38" s="541"/>
      <c r="Q38" s="399"/>
      <c r="R38" s="401"/>
      <c r="S38" s="401"/>
      <c r="T38" s="541"/>
      <c r="U38" s="399"/>
      <c r="V38" s="401"/>
      <c r="W38" s="401"/>
      <c r="X38" s="541"/>
      <c r="Y38" s="399"/>
      <c r="Z38" s="401"/>
      <c r="AA38" s="401"/>
      <c r="AB38" s="541"/>
      <c r="AC38" s="399"/>
      <c r="AD38" s="399"/>
      <c r="AE38" s="401"/>
      <c r="AF38" s="541"/>
      <c r="AG38" s="401"/>
      <c r="AH38" s="401"/>
      <c r="AI38" s="522"/>
      <c r="AK38" s="1" t="s">
        <v>37</v>
      </c>
    </row>
    <row r="39" spans="1:51" ht="15.75" customHeight="1" thickBot="1" x14ac:dyDescent="0.3">
      <c r="A39" s="86" t="s">
        <v>51</v>
      </c>
      <c r="B39" s="169" t="s">
        <v>97</v>
      </c>
      <c r="C39" s="483">
        <v>2929147</v>
      </c>
      <c r="D39" s="577"/>
      <c r="E39" s="441"/>
      <c r="F39" s="414"/>
      <c r="G39" s="414"/>
      <c r="H39" s="570"/>
      <c r="I39" s="441"/>
      <c r="J39" s="441"/>
      <c r="K39" s="414"/>
      <c r="L39" s="570"/>
      <c r="M39" s="414"/>
      <c r="N39" s="414"/>
      <c r="O39" s="414"/>
      <c r="P39" s="570"/>
      <c r="Q39" s="441"/>
      <c r="R39" s="416"/>
      <c r="S39" s="447"/>
      <c r="T39" s="570"/>
      <c r="U39" s="447"/>
      <c r="V39" s="406"/>
      <c r="W39" s="406"/>
      <c r="X39" s="542"/>
      <c r="Y39" s="406"/>
      <c r="Z39" s="78"/>
      <c r="AA39" s="406"/>
      <c r="AB39" s="542"/>
      <c r="AC39" s="399"/>
      <c r="AD39" s="399"/>
      <c r="AE39" s="406"/>
      <c r="AF39" s="542"/>
      <c r="AG39" s="406"/>
      <c r="AH39" s="406"/>
      <c r="AI39" s="523"/>
    </row>
    <row r="40" spans="1:51" ht="15.75" customHeight="1" thickBot="1" x14ac:dyDescent="0.3">
      <c r="A40" s="90" t="s">
        <v>85</v>
      </c>
      <c r="B40" s="169" t="s">
        <v>98</v>
      </c>
      <c r="C40" s="485">
        <v>3036430</v>
      </c>
      <c r="D40" s="1137" t="s">
        <v>118</v>
      </c>
      <c r="E40" s="1138"/>
      <c r="F40" s="1138"/>
      <c r="G40" s="1138"/>
      <c r="H40" s="1138"/>
      <c r="I40" s="1138"/>
      <c r="J40" s="1138"/>
      <c r="K40" s="1138"/>
      <c r="L40" s="1138"/>
      <c r="M40" s="1138"/>
      <c r="N40" s="1138"/>
      <c r="O40" s="1138"/>
      <c r="P40" s="1138"/>
      <c r="Q40" s="1138"/>
      <c r="R40" s="1138"/>
      <c r="S40" s="1138"/>
      <c r="T40" s="1138"/>
      <c r="U40" s="1139"/>
      <c r="V40" s="132"/>
      <c r="W40" s="78"/>
      <c r="X40" s="543"/>
      <c r="Y40" s="399"/>
      <c r="Z40" s="399"/>
      <c r="AA40" s="78"/>
      <c r="AB40" s="543"/>
      <c r="AC40" s="409"/>
      <c r="AD40" s="406"/>
      <c r="AE40" s="78"/>
      <c r="AF40" s="543"/>
      <c r="AG40" s="406"/>
      <c r="AH40" s="409"/>
      <c r="AI40" s="524"/>
    </row>
    <row r="41" spans="1:51" ht="15.75" customHeight="1" x14ac:dyDescent="0.2">
      <c r="A41" s="88" t="s">
        <v>53</v>
      </c>
      <c r="B41" s="169" t="s">
        <v>98</v>
      </c>
      <c r="C41" s="483">
        <v>3037029</v>
      </c>
      <c r="D41" s="568"/>
      <c r="E41" s="403"/>
      <c r="F41" s="403"/>
      <c r="G41" s="417"/>
      <c r="H41" s="550"/>
      <c r="I41" s="403"/>
      <c r="J41" s="417"/>
      <c r="K41" s="417"/>
      <c r="L41" s="550"/>
      <c r="M41" s="403"/>
      <c r="N41" s="403"/>
      <c r="O41" s="417"/>
      <c r="P41" s="550"/>
      <c r="Q41" s="403"/>
      <c r="R41" s="403"/>
      <c r="S41" s="417"/>
      <c r="T41" s="550"/>
      <c r="U41" s="417"/>
      <c r="V41" s="407"/>
      <c r="W41" s="407"/>
      <c r="X41" s="543"/>
      <c r="Y41" s="407"/>
      <c r="Z41" s="407"/>
      <c r="AA41" s="407"/>
      <c r="AB41" s="543"/>
      <c r="AC41" s="407"/>
      <c r="AD41" s="407"/>
      <c r="AE41" s="407"/>
      <c r="AF41" s="543"/>
      <c r="AG41" s="407"/>
      <c r="AH41" s="407"/>
      <c r="AI41" s="515"/>
    </row>
    <row r="42" spans="1:51" ht="15.75" customHeight="1" x14ac:dyDescent="0.25">
      <c r="A42" s="138" t="s">
        <v>70</v>
      </c>
      <c r="B42" s="169" t="s">
        <v>97</v>
      </c>
      <c r="C42" s="482">
        <v>3137252</v>
      </c>
      <c r="D42" s="537"/>
      <c r="E42" s="407"/>
      <c r="F42" s="407"/>
      <c r="G42" s="407"/>
      <c r="H42" s="543"/>
      <c r="I42" s="407"/>
      <c r="J42" s="407"/>
      <c r="K42" s="407"/>
      <c r="L42" s="543"/>
      <c r="M42" s="407"/>
      <c r="N42" s="407"/>
      <c r="O42" s="407"/>
      <c r="P42" s="543"/>
      <c r="Q42" s="407"/>
      <c r="R42" s="407"/>
      <c r="S42" s="407"/>
      <c r="T42" s="543"/>
      <c r="U42" s="352"/>
      <c r="V42" s="352"/>
      <c r="W42" s="401"/>
      <c r="X42" s="543"/>
      <c r="Y42" s="352"/>
      <c r="Z42" s="352"/>
      <c r="AA42" s="352"/>
      <c r="AB42" s="543"/>
      <c r="AC42" s="352"/>
      <c r="AD42" s="352"/>
      <c r="AE42" s="78"/>
      <c r="AF42" s="543"/>
      <c r="AG42" s="352"/>
      <c r="AH42" s="352"/>
      <c r="AI42" s="522"/>
    </row>
    <row r="43" spans="1:51" ht="15.75" customHeight="1" x14ac:dyDescent="0.25">
      <c r="A43" s="90" t="s">
        <v>47</v>
      </c>
      <c r="B43" s="169" t="s">
        <v>97</v>
      </c>
      <c r="C43" s="483">
        <v>2845520</v>
      </c>
      <c r="D43" s="536"/>
      <c r="E43" s="399"/>
      <c r="F43" s="407"/>
      <c r="G43" s="407"/>
      <c r="H43" s="542"/>
      <c r="I43" s="399"/>
      <c r="J43" s="399"/>
      <c r="K43" s="407"/>
      <c r="L43" s="542"/>
      <c r="M43" s="407"/>
      <c r="N43" s="407"/>
      <c r="O43" s="407"/>
      <c r="P43" s="542"/>
      <c r="Q43" s="399"/>
      <c r="R43" s="399"/>
      <c r="S43" s="407"/>
      <c r="T43" s="542"/>
      <c r="U43" s="399"/>
      <c r="V43" s="399"/>
      <c r="W43" s="78"/>
      <c r="X43" s="542"/>
      <c r="Y43" s="399"/>
      <c r="Z43" s="406"/>
      <c r="AA43" s="78"/>
      <c r="AB43" s="542"/>
      <c r="AC43" s="407"/>
      <c r="AD43" s="406"/>
      <c r="AE43" s="78"/>
      <c r="AF43" s="542"/>
      <c r="AG43" s="406"/>
      <c r="AH43" s="407"/>
      <c r="AI43" s="515"/>
    </row>
    <row r="44" spans="1:51" ht="15.75" customHeight="1" x14ac:dyDescent="0.25">
      <c r="A44" s="386" t="s">
        <v>107</v>
      </c>
      <c r="B44" s="169" t="s">
        <v>97</v>
      </c>
      <c r="C44" s="482">
        <v>3370143</v>
      </c>
      <c r="D44" s="537"/>
      <c r="E44" s="399"/>
      <c r="F44" s="407"/>
      <c r="G44" s="407"/>
      <c r="H44" s="544"/>
      <c r="I44" s="399"/>
      <c r="J44" s="399"/>
      <c r="K44" s="407"/>
      <c r="L44" s="544"/>
      <c r="M44" s="399"/>
      <c r="N44" s="399"/>
      <c r="O44" s="407"/>
      <c r="P44" s="544"/>
      <c r="Q44" s="399"/>
      <c r="R44" s="399"/>
      <c r="S44" s="407"/>
      <c r="T44" s="544"/>
      <c r="U44" s="399"/>
      <c r="V44" s="401"/>
      <c r="W44" s="407"/>
      <c r="X44" s="544"/>
      <c r="Y44" s="399"/>
      <c r="Z44" s="407"/>
      <c r="AA44" s="407"/>
      <c r="AB44" s="544"/>
      <c r="AC44" s="407"/>
      <c r="AD44" s="407"/>
      <c r="AE44" s="407"/>
      <c r="AF44" s="544"/>
      <c r="AG44" s="499"/>
      <c r="AH44" s="399"/>
      <c r="AI44" s="529"/>
      <c r="AJ44" s="79"/>
      <c r="AK44" s="79"/>
      <c r="AL44" s="79"/>
      <c r="AM44" s="79"/>
      <c r="AN44" s="79"/>
      <c r="AO44" s="79"/>
      <c r="AP44" s="79"/>
      <c r="AQ44" s="79"/>
      <c r="AR44" s="167"/>
      <c r="AS44" s="79"/>
      <c r="AT44" s="79"/>
      <c r="AU44" s="79"/>
      <c r="AV44" s="167"/>
      <c r="AW44" s="79"/>
      <c r="AX44" s="79"/>
      <c r="AY44" s="79"/>
    </row>
    <row r="45" spans="1:51" ht="15.75" customHeight="1" thickBot="1" x14ac:dyDescent="0.3">
      <c r="A45" s="175" t="s">
        <v>62</v>
      </c>
      <c r="B45" s="170" t="s">
        <v>97</v>
      </c>
      <c r="C45" s="486">
        <v>3369781</v>
      </c>
      <c r="D45" s="538"/>
      <c r="E45" s="424"/>
      <c r="F45" s="424"/>
      <c r="G45" s="423"/>
      <c r="H45" s="545"/>
      <c r="I45" s="424"/>
      <c r="J45" s="424"/>
      <c r="K45" s="423"/>
      <c r="L45" s="545"/>
      <c r="M45" s="424"/>
      <c r="N45" s="423"/>
      <c r="O45" s="423"/>
      <c r="P45" s="545"/>
      <c r="Q45" s="424"/>
      <c r="R45" s="424"/>
      <c r="S45" s="423"/>
      <c r="T45" s="545"/>
      <c r="U45" s="424"/>
      <c r="V45" s="424"/>
      <c r="W45" s="423"/>
      <c r="X45" s="545"/>
      <c r="Y45" s="424"/>
      <c r="Z45" s="423"/>
      <c r="AA45" s="423"/>
      <c r="AB45" s="545"/>
      <c r="AC45" s="424"/>
      <c r="AD45" s="423"/>
      <c r="AE45" s="423"/>
      <c r="AF45" s="545"/>
      <c r="AG45" s="501"/>
      <c r="AH45" s="424"/>
      <c r="AI45" s="527"/>
    </row>
    <row r="46" spans="1:51" ht="15.75" customHeight="1" x14ac:dyDescent="0.25">
      <c r="A46" s="178"/>
      <c r="B46" s="530"/>
      <c r="C46" s="188"/>
      <c r="D46" s="433"/>
      <c r="E46" s="490"/>
      <c r="F46" s="433"/>
      <c r="G46" s="433"/>
      <c r="H46" s="434"/>
      <c r="I46" s="58"/>
      <c r="J46" s="435"/>
      <c r="K46" s="433"/>
      <c r="L46" s="433"/>
      <c r="M46" s="435"/>
      <c r="N46" s="433"/>
      <c r="O46" s="433"/>
      <c r="P46" s="490"/>
      <c r="Q46" s="58"/>
      <c r="R46" s="58"/>
      <c r="S46" s="433"/>
      <c r="T46" s="490"/>
      <c r="U46" s="435"/>
      <c r="V46" s="58"/>
      <c r="W46" s="433"/>
      <c r="X46" s="433"/>
      <c r="Y46" s="58"/>
      <c r="Z46" s="433"/>
      <c r="AA46" s="433"/>
      <c r="AB46" s="433"/>
      <c r="AC46" s="490"/>
      <c r="AD46" s="433"/>
      <c r="AE46" s="433"/>
      <c r="AF46" s="433"/>
      <c r="AG46" s="4"/>
      <c r="AH46" s="490"/>
      <c r="AI46" s="490"/>
    </row>
    <row r="47" spans="1:51" ht="15.75" customHeight="1" thickBot="1" x14ac:dyDescent="0.3">
      <c r="A47" s="178"/>
      <c r="B47" s="530"/>
      <c r="C47" s="188"/>
      <c r="D47" s="1140"/>
      <c r="E47" s="1140"/>
      <c r="F47" s="1140"/>
      <c r="G47" s="1140"/>
      <c r="H47" s="1140"/>
      <c r="I47" s="1140"/>
      <c r="J47" s="1140"/>
      <c r="K47" s="1140"/>
      <c r="L47" s="1140"/>
      <c r="M47" s="1140"/>
      <c r="N47" s="1140"/>
      <c r="O47" s="1140"/>
      <c r="P47" s="1140"/>
      <c r="Q47" s="1140"/>
      <c r="R47" s="1140"/>
      <c r="S47" s="1140"/>
      <c r="T47" s="1140"/>
      <c r="U47" s="1140"/>
      <c r="V47" s="1140"/>
      <c r="W47" s="1140"/>
      <c r="X47" s="1140"/>
      <c r="Y47" s="1140"/>
      <c r="Z47" s="1140"/>
      <c r="AA47" s="1140"/>
      <c r="AB47" s="1140"/>
      <c r="AC47" s="1140"/>
      <c r="AD47" s="1140"/>
      <c r="AE47" s="1140"/>
      <c r="AF47" s="1140"/>
      <c r="AG47" s="1140"/>
      <c r="AH47" s="1140"/>
      <c r="AI47" s="4"/>
    </row>
    <row r="48" spans="1:51" ht="15.75" customHeight="1" x14ac:dyDescent="0.2">
      <c r="A48" s="1103" t="s">
        <v>6</v>
      </c>
      <c r="B48" s="1105" t="s">
        <v>34</v>
      </c>
      <c r="C48" s="1107" t="s">
        <v>17</v>
      </c>
      <c r="D48" s="191" t="s">
        <v>4</v>
      </c>
      <c r="E48" s="125" t="s">
        <v>4</v>
      </c>
      <c r="F48" s="393" t="s">
        <v>2</v>
      </c>
      <c r="G48" s="84" t="s">
        <v>2</v>
      </c>
      <c r="H48" s="84" t="s">
        <v>1</v>
      </c>
      <c r="I48" s="125" t="s">
        <v>2</v>
      </c>
      <c r="J48" s="125" t="s">
        <v>3</v>
      </c>
      <c r="K48" s="191" t="s">
        <v>4</v>
      </c>
      <c r="L48" s="125" t="s">
        <v>4</v>
      </c>
      <c r="M48" s="393" t="s">
        <v>2</v>
      </c>
      <c r="N48" s="84" t="s">
        <v>2</v>
      </c>
      <c r="O48" s="84" t="s">
        <v>1</v>
      </c>
      <c r="P48" s="125" t="s">
        <v>2</v>
      </c>
      <c r="Q48" s="125" t="s">
        <v>3</v>
      </c>
      <c r="R48" s="191" t="s">
        <v>4</v>
      </c>
      <c r="S48" s="125" t="s">
        <v>4</v>
      </c>
      <c r="T48" s="393" t="s">
        <v>2</v>
      </c>
      <c r="U48" s="84" t="s">
        <v>2</v>
      </c>
      <c r="V48" s="84" t="s">
        <v>1</v>
      </c>
      <c r="W48" s="125" t="s">
        <v>2</v>
      </c>
      <c r="X48" s="125" t="s">
        <v>3</v>
      </c>
      <c r="Y48" s="191" t="s">
        <v>4</v>
      </c>
      <c r="Z48" s="125" t="s">
        <v>4</v>
      </c>
      <c r="AA48" s="393" t="s">
        <v>2</v>
      </c>
      <c r="AB48" s="84" t="s">
        <v>2</v>
      </c>
      <c r="AC48" s="84" t="s">
        <v>1</v>
      </c>
      <c r="AD48" s="125" t="s">
        <v>2</v>
      </c>
      <c r="AE48" s="125" t="s">
        <v>3</v>
      </c>
      <c r="AF48" s="393" t="s">
        <v>4</v>
      </c>
      <c r="AG48" s="394"/>
      <c r="AH48" s="393" t="s">
        <v>4</v>
      </c>
      <c r="AI48" s="458" t="s">
        <v>2</v>
      </c>
    </row>
    <row r="49" spans="1:36" ht="15.75" customHeight="1" thickBot="1" x14ac:dyDescent="0.25">
      <c r="A49" s="1134"/>
      <c r="B49" s="1135"/>
      <c r="C49" s="1136"/>
      <c r="D49" s="237">
        <v>1</v>
      </c>
      <c r="E49" s="139">
        <f t="shared" ref="E49:AG49" si="3">D49+1</f>
        <v>2</v>
      </c>
      <c r="F49" s="139">
        <f t="shared" si="3"/>
        <v>3</v>
      </c>
      <c r="G49" s="510">
        <f t="shared" si="3"/>
        <v>4</v>
      </c>
      <c r="H49" s="510">
        <f t="shared" si="3"/>
        <v>5</v>
      </c>
      <c r="I49" s="139">
        <f t="shared" si="3"/>
        <v>6</v>
      </c>
      <c r="J49" s="139">
        <f t="shared" si="3"/>
        <v>7</v>
      </c>
      <c r="K49" s="139">
        <f t="shared" si="3"/>
        <v>8</v>
      </c>
      <c r="L49" s="139">
        <f t="shared" si="3"/>
        <v>9</v>
      </c>
      <c r="M49" s="139">
        <f t="shared" si="3"/>
        <v>10</v>
      </c>
      <c r="N49" s="510">
        <f t="shared" si="3"/>
        <v>11</v>
      </c>
      <c r="O49" s="510">
        <f t="shared" si="3"/>
        <v>12</v>
      </c>
      <c r="P49" s="139">
        <f t="shared" si="3"/>
        <v>13</v>
      </c>
      <c r="Q49" s="139">
        <f t="shared" si="3"/>
        <v>14</v>
      </c>
      <c r="R49" s="139">
        <f t="shared" si="3"/>
        <v>15</v>
      </c>
      <c r="S49" s="139">
        <f t="shared" si="3"/>
        <v>16</v>
      </c>
      <c r="T49" s="139">
        <f t="shared" si="3"/>
        <v>17</v>
      </c>
      <c r="U49" s="510">
        <f t="shared" si="3"/>
        <v>18</v>
      </c>
      <c r="V49" s="510">
        <f t="shared" si="3"/>
        <v>19</v>
      </c>
      <c r="W49" s="139">
        <f t="shared" si="3"/>
        <v>20</v>
      </c>
      <c r="X49" s="139">
        <f t="shared" si="3"/>
        <v>21</v>
      </c>
      <c r="Y49" s="139">
        <f t="shared" si="3"/>
        <v>22</v>
      </c>
      <c r="Z49" s="139">
        <f t="shared" si="3"/>
        <v>23</v>
      </c>
      <c r="AA49" s="139">
        <f t="shared" si="3"/>
        <v>24</v>
      </c>
      <c r="AB49" s="510">
        <f t="shared" si="3"/>
        <v>25</v>
      </c>
      <c r="AC49" s="510">
        <f t="shared" si="3"/>
        <v>26</v>
      </c>
      <c r="AD49" s="139">
        <f t="shared" si="3"/>
        <v>27</v>
      </c>
      <c r="AE49" s="139">
        <f t="shared" si="3"/>
        <v>28</v>
      </c>
      <c r="AF49" s="139">
        <f t="shared" si="3"/>
        <v>29</v>
      </c>
      <c r="AG49" s="139">
        <f t="shared" si="3"/>
        <v>30</v>
      </c>
      <c r="AH49" s="139">
        <v>30</v>
      </c>
      <c r="AI49" s="516">
        <f>AH49+1</f>
        <v>31</v>
      </c>
    </row>
    <row r="50" spans="1:36" ht="15.75" customHeight="1" x14ac:dyDescent="0.25">
      <c r="A50" s="297" t="s">
        <v>113</v>
      </c>
      <c r="B50" s="480" t="s">
        <v>32</v>
      </c>
      <c r="C50" s="513">
        <v>899747</v>
      </c>
      <c r="D50" s="514"/>
      <c r="E50" s="539"/>
      <c r="F50" s="395"/>
      <c r="G50" s="395"/>
      <c r="H50" s="396"/>
      <c r="I50" s="539"/>
      <c r="J50" s="395"/>
      <c r="K50" s="396"/>
      <c r="L50" s="396"/>
      <c r="M50" s="539"/>
      <c r="N50" s="396"/>
      <c r="O50" s="395"/>
      <c r="P50" s="396"/>
      <c r="Q50" s="539"/>
      <c r="R50" s="395"/>
      <c r="S50" s="396"/>
      <c r="T50" s="520"/>
      <c r="U50" s="539"/>
      <c r="V50" s="520"/>
      <c r="W50" s="520"/>
      <c r="X50" s="520"/>
      <c r="Y50" s="539"/>
      <c r="Z50" s="520"/>
      <c r="AA50" s="520"/>
      <c r="AB50" s="520"/>
      <c r="AC50" s="539"/>
      <c r="AD50" s="520"/>
      <c r="AE50" s="520"/>
      <c r="AF50" s="520"/>
      <c r="AG50" s="520"/>
      <c r="AH50" s="539"/>
      <c r="AI50" s="531"/>
    </row>
    <row r="51" spans="1:36" ht="15.75" customHeight="1" thickBot="1" x14ac:dyDescent="0.3">
      <c r="A51" s="86" t="s">
        <v>114</v>
      </c>
      <c r="B51" s="392" t="s">
        <v>32</v>
      </c>
      <c r="C51" s="171">
        <v>903659</v>
      </c>
      <c r="D51" s="569"/>
      <c r="E51" s="579"/>
      <c r="F51" s="441"/>
      <c r="G51" s="441"/>
      <c r="H51" s="402"/>
      <c r="I51" s="579"/>
      <c r="J51" s="402"/>
      <c r="K51" s="441"/>
      <c r="L51" s="402"/>
      <c r="M51" s="579"/>
      <c r="N51" s="441"/>
      <c r="O51" s="402"/>
      <c r="P51" s="402"/>
      <c r="Q51" s="579"/>
      <c r="R51" s="402"/>
      <c r="S51" s="401"/>
      <c r="T51" s="401"/>
      <c r="U51" s="541"/>
      <c r="V51" s="399"/>
      <c r="W51" s="401"/>
      <c r="X51" s="401"/>
      <c r="Y51" s="541"/>
      <c r="Z51" s="401"/>
      <c r="AA51" s="401"/>
      <c r="AB51" s="401"/>
      <c r="AC51" s="541"/>
      <c r="AD51" s="401"/>
      <c r="AE51" s="399"/>
      <c r="AF51" s="401"/>
      <c r="AG51" s="401"/>
      <c r="AH51" s="541"/>
      <c r="AI51" s="522"/>
    </row>
    <row r="52" spans="1:36" ht="15.75" customHeight="1" thickBot="1" x14ac:dyDescent="0.3">
      <c r="A52" s="86" t="s">
        <v>60</v>
      </c>
      <c r="B52" s="169" t="s">
        <v>97</v>
      </c>
      <c r="C52" s="173">
        <v>2984920</v>
      </c>
      <c r="D52" s="1137" t="s">
        <v>118</v>
      </c>
      <c r="E52" s="1138"/>
      <c r="F52" s="1138"/>
      <c r="G52" s="1138"/>
      <c r="H52" s="1138"/>
      <c r="I52" s="1138"/>
      <c r="J52" s="1138"/>
      <c r="K52" s="1138"/>
      <c r="L52" s="1138"/>
      <c r="M52" s="1138"/>
      <c r="N52" s="1138"/>
      <c r="O52" s="1138"/>
      <c r="P52" s="1138"/>
      <c r="Q52" s="1138"/>
      <c r="R52" s="1139"/>
      <c r="S52" s="578"/>
      <c r="T52" s="402"/>
      <c r="U52" s="570"/>
      <c r="V52" s="402"/>
      <c r="W52" s="401"/>
      <c r="X52" s="401"/>
      <c r="Y52" s="542"/>
      <c r="Z52" s="401"/>
      <c r="AA52" s="401"/>
      <c r="AB52" s="401"/>
      <c r="AC52" s="542"/>
      <c r="AD52" s="401"/>
      <c r="AE52" s="399"/>
      <c r="AF52" s="401"/>
      <c r="AG52" s="401"/>
      <c r="AH52" s="542"/>
      <c r="AI52" s="522"/>
      <c r="AJ52" s="4"/>
    </row>
    <row r="53" spans="1:36" ht="15.75" customHeight="1" thickBot="1" x14ac:dyDescent="0.3">
      <c r="A53" s="86" t="s">
        <v>67</v>
      </c>
      <c r="B53" s="169" t="s">
        <v>98</v>
      </c>
      <c r="C53" s="173">
        <v>2726041</v>
      </c>
      <c r="D53" s="1137" t="s">
        <v>118</v>
      </c>
      <c r="E53" s="1138"/>
      <c r="F53" s="1138"/>
      <c r="G53" s="1138"/>
      <c r="H53" s="1138"/>
      <c r="I53" s="1138"/>
      <c r="J53" s="1138"/>
      <c r="K53" s="1138"/>
      <c r="L53" s="1138"/>
      <c r="M53" s="1138"/>
      <c r="N53" s="1138"/>
      <c r="O53" s="1138"/>
      <c r="P53" s="1138"/>
      <c r="Q53" s="1138"/>
      <c r="R53" s="1138"/>
      <c r="S53" s="1138"/>
      <c r="T53" s="1138"/>
      <c r="U53" s="1138"/>
      <c r="V53" s="1139"/>
      <c r="W53" s="132"/>
      <c r="X53" s="406"/>
      <c r="Y53" s="543"/>
      <c r="Z53" s="406"/>
      <c r="AA53" s="78"/>
      <c r="AB53" s="406"/>
      <c r="AC53" s="543"/>
      <c r="AD53" s="399"/>
      <c r="AE53" s="401"/>
      <c r="AF53" s="406"/>
      <c r="AG53" s="406"/>
      <c r="AH53" s="543"/>
      <c r="AI53" s="523"/>
      <c r="AJ53" s="4"/>
    </row>
    <row r="54" spans="1:36" ht="15.75" customHeight="1" thickBot="1" x14ac:dyDescent="0.3">
      <c r="A54" s="88" t="s">
        <v>66</v>
      </c>
      <c r="B54" s="169" t="s">
        <v>98</v>
      </c>
      <c r="C54" s="171">
        <v>2807700</v>
      </c>
      <c r="D54" s="574"/>
      <c r="E54" s="575"/>
      <c r="F54" s="576"/>
      <c r="G54" s="576"/>
      <c r="H54" s="576"/>
      <c r="I54" s="575"/>
      <c r="J54" s="479"/>
      <c r="K54" s="576"/>
      <c r="L54" s="576"/>
      <c r="M54" s="575"/>
      <c r="N54" s="479"/>
      <c r="O54" s="493"/>
      <c r="P54" s="576"/>
      <c r="Q54" s="575"/>
      <c r="R54" s="479"/>
      <c r="S54" s="479"/>
      <c r="T54" s="479"/>
      <c r="U54" s="575"/>
      <c r="V54" s="573"/>
      <c r="W54" s="399"/>
      <c r="X54" s="406"/>
      <c r="Y54" s="543"/>
      <c r="Z54" s="401"/>
      <c r="AA54" s="399"/>
      <c r="AB54" s="406"/>
      <c r="AC54" s="543"/>
      <c r="AD54" s="406"/>
      <c r="AE54" s="78"/>
      <c r="AF54" s="406"/>
      <c r="AG54" s="406"/>
      <c r="AH54" s="543"/>
      <c r="AI54" s="524"/>
      <c r="AJ54" s="4"/>
    </row>
    <row r="55" spans="1:36" ht="15.75" customHeight="1" thickBot="1" x14ac:dyDescent="0.3">
      <c r="A55" s="88" t="s">
        <v>86</v>
      </c>
      <c r="B55" s="169" t="s">
        <v>98</v>
      </c>
      <c r="C55" s="171">
        <v>3038386</v>
      </c>
      <c r="D55" s="1137" t="s">
        <v>118</v>
      </c>
      <c r="E55" s="1138"/>
      <c r="F55" s="1138"/>
      <c r="G55" s="1138"/>
      <c r="H55" s="1138"/>
      <c r="I55" s="1138"/>
      <c r="J55" s="1138"/>
      <c r="K55" s="1138"/>
      <c r="L55" s="1138"/>
      <c r="M55" s="1138"/>
      <c r="N55" s="1138"/>
      <c r="O55" s="1138"/>
      <c r="P55" s="1138"/>
      <c r="Q55" s="1138"/>
      <c r="R55" s="1138"/>
      <c r="S55" s="1138"/>
      <c r="T55" s="1138"/>
      <c r="U55" s="1139"/>
      <c r="V55" s="567"/>
      <c r="W55" s="399"/>
      <c r="X55" s="406"/>
      <c r="Y55" s="543"/>
      <c r="Z55" s="399"/>
      <c r="AA55" s="401"/>
      <c r="AB55" s="406"/>
      <c r="AC55" s="543"/>
      <c r="AD55" s="406"/>
      <c r="AE55" s="78"/>
      <c r="AF55" s="406"/>
      <c r="AG55" s="406"/>
      <c r="AH55" s="543"/>
      <c r="AI55" s="515"/>
      <c r="AJ55" s="4"/>
    </row>
    <row r="56" spans="1:36" ht="15.75" customHeight="1" x14ac:dyDescent="0.25">
      <c r="A56" s="88" t="s">
        <v>65</v>
      </c>
      <c r="B56" s="169" t="s">
        <v>97</v>
      </c>
      <c r="C56" s="483">
        <v>3037274</v>
      </c>
      <c r="D56" s="571"/>
      <c r="E56" s="550"/>
      <c r="F56" s="417"/>
      <c r="G56" s="417"/>
      <c r="H56" s="421"/>
      <c r="I56" s="550"/>
      <c r="J56" s="403"/>
      <c r="K56" s="417"/>
      <c r="L56" s="417"/>
      <c r="M56" s="550"/>
      <c r="N56" s="403"/>
      <c r="O56" s="403"/>
      <c r="P56" s="417"/>
      <c r="Q56" s="550"/>
      <c r="R56" s="403"/>
      <c r="S56" s="417"/>
      <c r="T56" s="403"/>
      <c r="U56" s="550"/>
      <c r="V56" s="399"/>
      <c r="W56" s="399"/>
      <c r="X56" s="406"/>
      <c r="Y56" s="543"/>
      <c r="Z56" s="399"/>
      <c r="AA56" s="401"/>
      <c r="AB56" s="406"/>
      <c r="AC56" s="543"/>
      <c r="AD56" s="406"/>
      <c r="AE56" s="78"/>
      <c r="AF56" s="406"/>
      <c r="AG56" s="406"/>
      <c r="AH56" s="543"/>
      <c r="AI56" s="515"/>
      <c r="AJ56" s="4"/>
    </row>
    <row r="57" spans="1:36" ht="15.75" customHeight="1" x14ac:dyDescent="0.2">
      <c r="A57" s="88" t="s">
        <v>71</v>
      </c>
      <c r="B57" s="169" t="s">
        <v>97</v>
      </c>
      <c r="C57" s="260">
        <v>3135764</v>
      </c>
      <c r="D57" s="504"/>
      <c r="E57" s="542"/>
      <c r="F57" s="399"/>
      <c r="G57" s="407"/>
      <c r="H57" s="407"/>
      <c r="I57" s="542"/>
      <c r="J57" s="399"/>
      <c r="K57" s="399"/>
      <c r="L57" s="407"/>
      <c r="M57" s="542"/>
      <c r="N57" s="399"/>
      <c r="O57" s="407"/>
      <c r="P57" s="407"/>
      <c r="Q57" s="542"/>
      <c r="R57" s="399"/>
      <c r="S57" s="401"/>
      <c r="T57" s="78"/>
      <c r="U57" s="542"/>
      <c r="V57" s="399"/>
      <c r="W57" s="399"/>
      <c r="X57" s="78"/>
      <c r="Y57" s="542"/>
      <c r="Z57" s="78"/>
      <c r="AA57" s="78"/>
      <c r="AB57" s="78"/>
      <c r="AC57" s="542"/>
      <c r="AD57" s="78"/>
      <c r="AE57" s="399"/>
      <c r="AF57" s="78"/>
      <c r="AG57" s="78"/>
      <c r="AH57" s="542"/>
      <c r="AI57" s="525"/>
      <c r="AJ57" s="4"/>
    </row>
    <row r="58" spans="1:36" ht="15.75" customHeight="1" x14ac:dyDescent="0.25">
      <c r="A58" s="88" t="s">
        <v>80</v>
      </c>
      <c r="B58" s="169" t="s">
        <v>98</v>
      </c>
      <c r="C58" s="173">
        <v>3043428</v>
      </c>
      <c r="D58" s="504"/>
      <c r="E58" s="547"/>
      <c r="F58" s="399"/>
      <c r="G58" s="407"/>
      <c r="H58" s="404"/>
      <c r="I58" s="547"/>
      <c r="J58" s="399"/>
      <c r="K58" s="399"/>
      <c r="L58" s="407"/>
      <c r="M58" s="547"/>
      <c r="N58" s="399"/>
      <c r="O58" s="399"/>
      <c r="P58" s="399"/>
      <c r="Q58" s="547"/>
      <c r="R58" s="415"/>
      <c r="S58" s="407"/>
      <c r="T58" s="399"/>
      <c r="U58" s="547"/>
      <c r="V58" s="112"/>
      <c r="W58" s="112"/>
      <c r="X58" s="112"/>
      <c r="Y58" s="547"/>
      <c r="Z58" s="112"/>
      <c r="AA58" s="112"/>
      <c r="AB58" s="112"/>
      <c r="AC58" s="547"/>
      <c r="AD58" s="112"/>
      <c r="AE58" s="112"/>
      <c r="AF58" s="112"/>
      <c r="AG58" s="508"/>
      <c r="AH58" s="547"/>
      <c r="AI58" s="532"/>
      <c r="AJ58" s="4"/>
    </row>
    <row r="59" spans="1:36" ht="15.75" customHeight="1" x14ac:dyDescent="0.25">
      <c r="A59" s="89" t="s">
        <v>57</v>
      </c>
      <c r="B59" s="169" t="s">
        <v>97</v>
      </c>
      <c r="C59" s="171">
        <v>3376460</v>
      </c>
      <c r="D59" s="504"/>
      <c r="E59" s="543"/>
      <c r="F59" s="407"/>
      <c r="G59" s="407"/>
      <c r="H59" s="407"/>
      <c r="I59" s="543"/>
      <c r="J59" s="407"/>
      <c r="K59" s="407"/>
      <c r="L59" s="407"/>
      <c r="M59" s="543"/>
      <c r="N59" s="407"/>
      <c r="O59" s="407"/>
      <c r="P59" s="407"/>
      <c r="Q59" s="543"/>
      <c r="R59" s="407"/>
      <c r="S59" s="407"/>
      <c r="T59" s="399"/>
      <c r="U59" s="543"/>
      <c r="V59" s="112"/>
      <c r="W59" s="112"/>
      <c r="X59" s="112"/>
      <c r="Y59" s="543"/>
      <c r="Z59" s="112"/>
      <c r="AA59" s="112"/>
      <c r="AB59" s="112"/>
      <c r="AC59" s="543"/>
      <c r="AD59" s="112"/>
      <c r="AE59" s="112"/>
      <c r="AF59" s="112"/>
      <c r="AG59" s="508"/>
      <c r="AH59" s="543"/>
      <c r="AI59" s="532"/>
      <c r="AJ59" s="4"/>
    </row>
    <row r="60" spans="1:36" ht="15.75" customHeight="1" thickBot="1" x14ac:dyDescent="0.3">
      <c r="A60" s="491" t="s">
        <v>82</v>
      </c>
      <c r="B60" s="492" t="s">
        <v>97</v>
      </c>
      <c r="C60" s="507">
        <v>3272451</v>
      </c>
      <c r="D60" s="505"/>
      <c r="E60" s="546"/>
      <c r="F60" s="423"/>
      <c r="G60" s="423"/>
      <c r="H60" s="423"/>
      <c r="I60" s="546"/>
      <c r="J60" s="423"/>
      <c r="K60" s="423"/>
      <c r="L60" s="423"/>
      <c r="M60" s="546"/>
      <c r="N60" s="423"/>
      <c r="O60" s="423"/>
      <c r="P60" s="423"/>
      <c r="Q60" s="546"/>
      <c r="R60" s="423"/>
      <c r="S60" s="423"/>
      <c r="T60" s="424"/>
      <c r="U60" s="546"/>
      <c r="V60" s="117"/>
      <c r="W60" s="117"/>
      <c r="X60" s="117"/>
      <c r="Y60" s="546"/>
      <c r="Z60" s="117"/>
      <c r="AA60" s="117"/>
      <c r="AB60" s="117"/>
      <c r="AC60" s="546"/>
      <c r="AD60" s="117"/>
      <c r="AE60" s="117"/>
      <c r="AF60" s="117"/>
      <c r="AG60" s="117"/>
      <c r="AH60" s="546"/>
      <c r="AI60" s="533"/>
    </row>
    <row r="61" spans="1:36" ht="15.75" customHeight="1" x14ac:dyDescent="0.25">
      <c r="A61" s="2"/>
      <c r="B61" s="55"/>
      <c r="C61" s="56"/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54"/>
      <c r="V61" s="58"/>
      <c r="W61" s="54"/>
      <c r="X61" s="54"/>
      <c r="Y61" s="133"/>
      <c r="Z61" s="54"/>
      <c r="AA61" s="54"/>
      <c r="AB61" s="54"/>
      <c r="AC61" s="54"/>
      <c r="AD61" s="54"/>
      <c r="AE61" s="54"/>
      <c r="AF61" s="54"/>
      <c r="AG61" s="134"/>
      <c r="AH61" s="134"/>
    </row>
    <row r="62" spans="1:36" ht="15.75" customHeight="1" x14ac:dyDescent="0.25">
      <c r="A62" s="2"/>
      <c r="B62" s="496" t="s">
        <v>120</v>
      </c>
      <c r="C62" s="496"/>
      <c r="D62" s="496"/>
      <c r="E62" s="496"/>
      <c r="F62" s="496"/>
      <c r="G62" s="496"/>
      <c r="H62" s="496"/>
      <c r="I62" s="496"/>
      <c r="J62" s="496"/>
      <c r="K62" s="496"/>
      <c r="L62" s="496"/>
      <c r="M62" s="496"/>
      <c r="N62" s="496"/>
      <c r="O62" s="496"/>
      <c r="P62" s="79"/>
      <c r="Q62" s="79"/>
      <c r="R62" s="79"/>
      <c r="S62" s="79"/>
      <c r="T62" s="79"/>
      <c r="U62" s="54"/>
      <c r="V62" s="58"/>
      <c r="W62" s="54"/>
      <c r="X62" s="54"/>
      <c r="Y62" s="133"/>
      <c r="Z62" s="54"/>
      <c r="AA62" s="54"/>
      <c r="AB62" s="54"/>
      <c r="AC62" s="54"/>
      <c r="AD62" s="54"/>
      <c r="AE62" s="54"/>
      <c r="AF62" s="54"/>
      <c r="AG62" s="134"/>
      <c r="AH62" s="134"/>
    </row>
    <row r="63" spans="1:36" ht="15.75" customHeight="1" x14ac:dyDescent="0.2">
      <c r="A63" s="2" t="s">
        <v>101</v>
      </c>
      <c r="B63" s="498" t="s">
        <v>123</v>
      </c>
      <c r="C63" s="498"/>
      <c r="D63" s="498"/>
      <c r="E63" s="498"/>
      <c r="F63" s="498"/>
      <c r="G63" s="498"/>
      <c r="H63" s="498"/>
      <c r="I63" s="497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6" ht="15.75" customHeight="1" x14ac:dyDescent="0.2">
      <c r="A64" s="2"/>
      <c r="B64" s="1129" t="s">
        <v>124</v>
      </c>
      <c r="C64" s="1129"/>
      <c r="D64" s="1129"/>
      <c r="E64" s="1129"/>
      <c r="F64" s="1129"/>
      <c r="G64" s="1129"/>
      <c r="H64" s="1129"/>
      <c r="I64" s="1129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35" ht="15.75" customHeight="1" x14ac:dyDescent="0.25">
      <c r="A65" s="1128" t="s">
        <v>102</v>
      </c>
      <c r="B65" s="1128"/>
      <c r="C65" s="1128"/>
      <c r="D65" s="1128"/>
      <c r="E65" s="1128"/>
      <c r="F65" s="1128"/>
      <c r="G65" s="1128"/>
      <c r="H65" s="1128"/>
      <c r="I65" s="1128"/>
      <c r="J65" s="1128"/>
      <c r="K65" s="1128"/>
      <c r="L65" s="1128"/>
      <c r="M65" s="1128"/>
      <c r="N65" s="1128"/>
      <c r="O65" s="1128"/>
      <c r="P65" s="1128"/>
      <c r="Q65" s="1128"/>
      <c r="R65" s="1128"/>
      <c r="S65" s="1128"/>
      <c r="T65" s="1128"/>
      <c r="U65" s="1128"/>
      <c r="V65" s="1128"/>
      <c r="W65" s="1128"/>
      <c r="X65" s="1128"/>
      <c r="Y65" s="1128"/>
      <c r="Z65" s="1128"/>
      <c r="AA65" s="1128"/>
      <c r="AB65" s="1128"/>
      <c r="AC65" s="1128"/>
      <c r="AD65" s="1128"/>
      <c r="AE65" s="1128"/>
      <c r="AF65" s="1128"/>
      <c r="AG65" s="1128"/>
      <c r="AH65" s="1128"/>
    </row>
    <row r="66" spans="1:35" ht="15.75" customHeight="1" x14ac:dyDescent="0.25">
      <c r="A66" s="1128" t="s">
        <v>103</v>
      </c>
      <c r="B66" s="1128"/>
      <c r="C66" s="1128"/>
      <c r="D66" s="1128"/>
      <c r="E66" s="1128"/>
      <c r="F66" s="1128"/>
      <c r="G66" s="1128"/>
      <c r="H66" s="1128"/>
      <c r="I66" s="1128"/>
      <c r="J66" s="1128"/>
      <c r="K66" s="1128"/>
      <c r="L66" s="1128"/>
      <c r="M66" s="1128"/>
      <c r="N66" s="1128"/>
      <c r="O66" s="1128"/>
      <c r="P66" s="1128"/>
      <c r="Q66" s="1128"/>
      <c r="R66" s="1128"/>
      <c r="S66" s="1128"/>
      <c r="T66" s="1128"/>
      <c r="U66" s="1128"/>
      <c r="V66" s="1128"/>
      <c r="W66" s="1128"/>
      <c r="X66" s="1128"/>
      <c r="Y66" s="1128"/>
      <c r="Z66" s="1128"/>
      <c r="AA66" s="1128"/>
      <c r="AB66" s="1128"/>
      <c r="AC66" s="1128"/>
      <c r="AD66" s="1128"/>
      <c r="AE66" s="1128"/>
      <c r="AF66" s="1128"/>
      <c r="AG66" s="1128"/>
      <c r="AH66" s="1128"/>
    </row>
    <row r="67" spans="1:35" ht="15.75" customHeight="1" x14ac:dyDescent="0.2">
      <c r="AH67" s="8"/>
      <c r="AI67" s="8"/>
    </row>
    <row r="68" spans="1:35" ht="15.75" customHeight="1" x14ac:dyDescent="0.2">
      <c r="A68" s="3"/>
      <c r="AD68" s="8"/>
      <c r="AE68" s="8"/>
      <c r="AH68" s="8"/>
      <c r="AI68" s="8"/>
    </row>
    <row r="69" spans="1:35" ht="15.75" customHeight="1" x14ac:dyDescent="0.2">
      <c r="A69" s="3"/>
      <c r="AH69" s="8"/>
      <c r="AI69" s="8"/>
    </row>
    <row r="70" spans="1:35" ht="15.75" customHeight="1" x14ac:dyDescent="0.2">
      <c r="A70" s="66"/>
      <c r="I70" s="6"/>
      <c r="M70" s="6"/>
      <c r="AH70" s="8"/>
      <c r="AI70" s="8"/>
    </row>
    <row r="71" spans="1:35" ht="15.75" customHeight="1" x14ac:dyDescent="0.2">
      <c r="A71" s="66"/>
      <c r="L71" s="6"/>
      <c r="P71" s="6"/>
    </row>
    <row r="72" spans="1:35" ht="15.75" customHeight="1" x14ac:dyDescent="0.2">
      <c r="A72" s="3"/>
      <c r="L72" s="6"/>
      <c r="P72" s="6"/>
      <c r="AH72" s="8"/>
      <c r="AI72" s="8"/>
    </row>
    <row r="73" spans="1:35" ht="15.75" customHeight="1" x14ac:dyDescent="0.2">
      <c r="A73" s="67"/>
      <c r="L73" s="6"/>
      <c r="P73" s="6"/>
      <c r="AH73" s="8"/>
      <c r="AI73" s="8"/>
    </row>
    <row r="74" spans="1:35" ht="15.75" customHeight="1" x14ac:dyDescent="0.2">
      <c r="A74" s="67"/>
      <c r="AH74" s="8"/>
      <c r="AI74" s="8"/>
    </row>
    <row r="75" spans="1:35" ht="15.75" customHeight="1" x14ac:dyDescent="0.2">
      <c r="A75" s="67"/>
      <c r="AH75" s="8"/>
      <c r="AI75" s="8"/>
    </row>
    <row r="76" spans="1:35" ht="15.75" customHeight="1" x14ac:dyDescent="0.2">
      <c r="A76" s="3"/>
      <c r="AH76" s="8"/>
      <c r="AI76" s="8"/>
    </row>
    <row r="77" spans="1:35" ht="15.75" customHeight="1" x14ac:dyDescent="0.2">
      <c r="A77" s="3"/>
      <c r="AH77" s="8"/>
      <c r="AI77" s="8"/>
    </row>
    <row r="78" spans="1:35" ht="15.75" customHeight="1" x14ac:dyDescent="0.2">
      <c r="A78" s="67"/>
      <c r="AH78" s="8"/>
      <c r="AI78" s="8"/>
    </row>
    <row r="79" spans="1:35" ht="15.75" customHeight="1" x14ac:dyDescent="0.2">
      <c r="A79" s="67"/>
      <c r="AH79" s="8"/>
      <c r="AI79" s="8"/>
    </row>
    <row r="80" spans="1:35" ht="15.75" customHeight="1" x14ac:dyDescent="0.2">
      <c r="A80" s="67"/>
      <c r="AH80" s="8"/>
      <c r="AI80" s="8"/>
    </row>
    <row r="81" spans="1:35" ht="15.75" customHeight="1" x14ac:dyDescent="0.2">
      <c r="A81" s="66"/>
    </row>
    <row r="87" spans="1:35" ht="15.75" customHeight="1" x14ac:dyDescent="0.2">
      <c r="AH87" s="8"/>
      <c r="AI87" s="8"/>
    </row>
    <row r="88" spans="1:35" ht="15.75" customHeight="1" x14ac:dyDescent="0.2">
      <c r="AH88" s="8"/>
      <c r="AI88" s="8"/>
    </row>
  </sheetData>
  <dataConsolidate/>
  <mergeCells count="26">
    <mergeCell ref="D40:U40"/>
    <mergeCell ref="D52:R52"/>
    <mergeCell ref="A65:AH65"/>
    <mergeCell ref="D47:AH47"/>
    <mergeCell ref="A19:A20"/>
    <mergeCell ref="A7:A8"/>
    <mergeCell ref="B7:B8"/>
    <mergeCell ref="C7:C8"/>
    <mergeCell ref="A66:AH66"/>
    <mergeCell ref="B64:I64"/>
    <mergeCell ref="B19:B20"/>
    <mergeCell ref="C19:C20"/>
    <mergeCell ref="A34:A35"/>
    <mergeCell ref="B34:B35"/>
    <mergeCell ref="C34:C35"/>
    <mergeCell ref="A48:A49"/>
    <mergeCell ref="B48:B49"/>
    <mergeCell ref="C48:C49"/>
    <mergeCell ref="D9:S9"/>
    <mergeCell ref="D53:V53"/>
    <mergeCell ref="D55:U55"/>
    <mergeCell ref="A1:AH1"/>
    <mergeCell ref="A2:AH2"/>
    <mergeCell ref="G3:R3"/>
    <mergeCell ref="I4:P4"/>
    <mergeCell ref="A6:AI6"/>
  </mergeCells>
  <dataValidations count="2">
    <dataValidation type="list" allowBlank="1" showInputMessage="1" showErrorMessage="1" sqref="AD68" xr:uid="{00000000-0002-0000-0100-000000000000}">
      <formula1>$X$34:$X$153</formula1>
    </dataValidation>
    <dataValidation type="list" allowBlank="1" showInputMessage="1" showErrorMessage="1" sqref="AH67:AI70 AH33" xr:uid="{00000000-0002-0000-0100-000001000000}">
      <formula1>$X$34:$X$154</formula1>
    </dataValidation>
  </dataValidations>
  <printOptions horizontalCentered="1"/>
  <pageMargins left="0.59055118110236227" right="0.59055118110236227" top="0" bottom="0" header="0" footer="0"/>
  <pageSetup paperSize="9" scale="56" orientation="landscape" r:id="rId1"/>
  <headerFooter alignWithMargins="0"/>
  <rowBreaks count="2" manualBreakCount="2">
    <brk id="5" max="16383" man="1"/>
    <brk id="17" max="16383" man="1"/>
  </rowBreaks>
  <colBreaks count="1" manualBreakCount="1">
    <brk id="8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"/>
  <sheetViews>
    <sheetView workbookViewId="0"/>
  </sheetViews>
  <sheetFormatPr defaultRowHeight="12.75" x14ac:dyDescent="0.2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pageSetUpPr fitToPage="1"/>
  </sheetPr>
  <dimension ref="A1:AY89"/>
  <sheetViews>
    <sheetView view="pageBreakPreview" topLeftCell="A34" zoomScale="90" zoomScaleNormal="100" zoomScaleSheetLayoutView="90" workbookViewId="0">
      <pane xSplit="1" topLeftCell="B1" activePane="topRight" state="frozen"/>
      <selection activeCell="AD45" sqref="AD45"/>
      <selection pane="topRight" activeCell="A61" sqref="A61:AH62"/>
    </sheetView>
  </sheetViews>
  <sheetFormatPr defaultRowHeight="12.75" x14ac:dyDescent="0.2"/>
  <cols>
    <col min="1" max="1" width="22.85546875" style="1" customWidth="1"/>
    <col min="2" max="2" width="15" style="1" customWidth="1"/>
    <col min="3" max="3" width="15.140625" style="1" customWidth="1"/>
    <col min="4" max="11" width="4.7109375" style="1" customWidth="1"/>
    <col min="12" max="12" width="5.28515625" style="1" customWidth="1"/>
    <col min="13" max="15" width="4.7109375" style="1" customWidth="1"/>
    <col min="16" max="16" width="5.140625" style="1" customWidth="1"/>
    <col min="17" max="32" width="4.7109375" style="1" customWidth="1"/>
    <col min="33" max="33" width="5" style="1" hidden="1" customWidth="1"/>
    <col min="34" max="35" width="4.7109375" style="1" customWidth="1"/>
    <col min="36" max="36" width="9.85546875" style="1" customWidth="1"/>
    <col min="37" max="37" width="9.140625" style="1" customWidth="1"/>
    <col min="38" max="38" width="22.140625" style="1" customWidth="1"/>
    <col min="39" max="16384" width="9.140625" style="1"/>
  </cols>
  <sheetData>
    <row r="1" spans="1:37" ht="12.75" customHeight="1" x14ac:dyDescent="0.25">
      <c r="A1" s="1122" t="s">
        <v>99</v>
      </c>
      <c r="B1" s="1122"/>
      <c r="C1" s="1122"/>
      <c r="D1" s="1122"/>
      <c r="E1" s="1122"/>
      <c r="F1" s="1122"/>
      <c r="G1" s="1122"/>
      <c r="H1" s="1122"/>
      <c r="I1" s="1122"/>
      <c r="J1" s="1122"/>
      <c r="K1" s="1122"/>
      <c r="L1" s="1122"/>
      <c r="M1" s="1122"/>
      <c r="N1" s="1122"/>
      <c r="O1" s="1122"/>
      <c r="P1" s="1122"/>
      <c r="Q1" s="1122"/>
      <c r="R1" s="1122"/>
      <c r="S1" s="1122"/>
      <c r="T1" s="1122"/>
      <c r="U1" s="1122"/>
      <c r="V1" s="1122"/>
      <c r="W1" s="1122"/>
      <c r="X1" s="1122"/>
      <c r="Y1" s="1122"/>
      <c r="Z1" s="1122"/>
      <c r="AA1" s="1122"/>
      <c r="AB1" s="1122"/>
      <c r="AC1" s="1122"/>
      <c r="AD1" s="1122"/>
      <c r="AE1" s="1122"/>
      <c r="AF1" s="1122"/>
      <c r="AG1" s="1122"/>
      <c r="AH1" s="1122"/>
    </row>
    <row r="2" spans="1:37" ht="15.75" x14ac:dyDescent="0.25">
      <c r="A2" s="1122" t="s">
        <v>100</v>
      </c>
      <c r="B2" s="1122"/>
      <c r="C2" s="1122"/>
      <c r="D2" s="1122"/>
      <c r="E2" s="1122"/>
      <c r="F2" s="1122"/>
      <c r="G2" s="1122"/>
      <c r="H2" s="1122"/>
      <c r="I2" s="1122"/>
      <c r="J2" s="1122"/>
      <c r="K2" s="1122"/>
      <c r="L2" s="1122"/>
      <c r="M2" s="1122"/>
      <c r="N2" s="1122"/>
      <c r="O2" s="1122"/>
      <c r="P2" s="1122"/>
      <c r="Q2" s="1122"/>
      <c r="R2" s="1122"/>
      <c r="S2" s="1122"/>
      <c r="T2" s="1122"/>
      <c r="U2" s="1122"/>
      <c r="V2" s="1122"/>
      <c r="W2" s="1122"/>
      <c r="X2" s="1122"/>
      <c r="Y2" s="1122"/>
      <c r="Z2" s="1122"/>
      <c r="AA2" s="1122"/>
      <c r="AB2" s="1122"/>
      <c r="AC2" s="1122"/>
      <c r="AD2" s="1122"/>
      <c r="AE2" s="1122"/>
      <c r="AF2" s="1122"/>
      <c r="AG2" s="1122"/>
      <c r="AH2" s="1122"/>
    </row>
    <row r="3" spans="1:37" ht="15.75" x14ac:dyDescent="0.25">
      <c r="A3" s="1147" t="s">
        <v>116</v>
      </c>
      <c r="B3" s="1147"/>
      <c r="C3" s="1147"/>
      <c r="D3" s="1147"/>
      <c r="E3" s="1147"/>
      <c r="F3" s="1147"/>
      <c r="G3" s="1147"/>
      <c r="H3" s="1147"/>
      <c r="I3" s="1147"/>
      <c r="J3" s="1147"/>
      <c r="K3" s="1147"/>
      <c r="L3" s="1147"/>
      <c r="M3" s="1147"/>
      <c r="N3" s="1147"/>
      <c r="O3" s="1147"/>
      <c r="P3" s="1147"/>
      <c r="Q3" s="1147"/>
      <c r="R3" s="1147"/>
      <c r="S3" s="1147"/>
      <c r="T3" s="1147"/>
      <c r="U3" s="1147"/>
      <c r="V3" s="1147"/>
      <c r="W3" s="1147"/>
      <c r="X3" s="1147"/>
      <c r="Y3" s="1147"/>
      <c r="Z3" s="1147"/>
      <c r="AA3" s="1147"/>
      <c r="AB3" s="1147"/>
      <c r="AC3" s="1147"/>
      <c r="AD3" s="1147"/>
      <c r="AE3" s="1147"/>
      <c r="AF3" s="1147"/>
      <c r="AG3" s="1147"/>
      <c r="AH3" s="1147"/>
    </row>
    <row r="4" spans="1:37" ht="13.5" thickBot="1" x14ac:dyDescent="0.25">
      <c r="A4" s="186"/>
      <c r="B4" s="186"/>
      <c r="C4" s="387"/>
      <c r="D4" s="387"/>
      <c r="E4" s="387"/>
      <c r="F4" s="387"/>
      <c r="G4" s="387"/>
      <c r="H4" s="387"/>
      <c r="I4" s="387"/>
      <c r="J4" s="387"/>
      <c r="K4" s="387"/>
      <c r="L4" s="387"/>
      <c r="M4" s="387"/>
      <c r="N4" s="387"/>
      <c r="O4" s="387"/>
      <c r="P4" s="387"/>
      <c r="Q4" s="387"/>
      <c r="R4" s="387"/>
      <c r="S4" s="387"/>
      <c r="T4" s="387"/>
      <c r="U4" s="387"/>
      <c r="V4" s="387"/>
      <c r="W4" s="387"/>
      <c r="X4" s="387"/>
      <c r="Y4" s="387"/>
      <c r="Z4" s="387"/>
      <c r="AA4" s="387"/>
      <c r="AB4" s="387"/>
      <c r="AC4" s="387"/>
      <c r="AD4" s="387"/>
      <c r="AE4" s="387"/>
      <c r="AF4" s="387"/>
      <c r="AG4" s="387"/>
      <c r="AH4" s="387"/>
    </row>
    <row r="5" spans="1:37" ht="36.75" thickBot="1" x14ac:dyDescent="0.25">
      <c r="A5" s="83" t="s">
        <v>0</v>
      </c>
      <c r="B5" s="83"/>
      <c r="C5" s="1074" t="s">
        <v>115</v>
      </c>
      <c r="D5" s="1075"/>
      <c r="E5" s="1075"/>
      <c r="F5" s="1075"/>
      <c r="G5" s="1075"/>
      <c r="H5" s="1075"/>
      <c r="I5" s="1075"/>
      <c r="J5" s="1075"/>
      <c r="K5" s="1075"/>
      <c r="L5" s="1075"/>
      <c r="M5" s="1075"/>
      <c r="N5" s="1075"/>
      <c r="O5" s="1075"/>
      <c r="P5" s="1075"/>
      <c r="Q5" s="1075"/>
      <c r="R5" s="1075"/>
      <c r="S5" s="1075"/>
      <c r="T5" s="1075"/>
      <c r="U5" s="1075"/>
      <c r="V5" s="1075"/>
      <c r="W5" s="1075"/>
      <c r="X5" s="1075"/>
      <c r="Y5" s="1075"/>
      <c r="Z5" s="1075"/>
      <c r="AA5" s="1075"/>
      <c r="AB5" s="1075"/>
      <c r="AC5" s="1075"/>
      <c r="AD5" s="1075"/>
      <c r="AE5" s="1075"/>
      <c r="AF5" s="1075"/>
      <c r="AG5" s="1075"/>
      <c r="AH5" s="1075"/>
      <c r="AI5" s="1076"/>
      <c r="AK5" s="97"/>
    </row>
    <row r="6" spans="1:37" ht="15.75" customHeight="1" x14ac:dyDescent="0.2">
      <c r="A6" s="1111" t="s">
        <v>39</v>
      </c>
      <c r="B6" s="1113" t="s">
        <v>34</v>
      </c>
      <c r="C6" s="1079" t="s">
        <v>17</v>
      </c>
      <c r="D6" s="442" t="s">
        <v>1</v>
      </c>
      <c r="E6" s="125" t="s">
        <v>2</v>
      </c>
      <c r="F6" s="393" t="s">
        <v>3</v>
      </c>
      <c r="G6" s="125" t="s">
        <v>4</v>
      </c>
      <c r="H6" s="125" t="s">
        <v>4</v>
      </c>
      <c r="I6" s="125" t="s">
        <v>2</v>
      </c>
      <c r="J6" s="84" t="s">
        <v>2</v>
      </c>
      <c r="K6" s="84" t="s">
        <v>1</v>
      </c>
      <c r="L6" s="125" t="s">
        <v>2</v>
      </c>
      <c r="M6" s="393" t="s">
        <v>3</v>
      </c>
      <c r="N6" s="125" t="s">
        <v>4</v>
      </c>
      <c r="O6" s="125" t="s">
        <v>4</v>
      </c>
      <c r="P6" s="125" t="s">
        <v>2</v>
      </c>
      <c r="Q6" s="84" t="s">
        <v>2</v>
      </c>
      <c r="R6" s="84" t="s">
        <v>1</v>
      </c>
      <c r="S6" s="125" t="s">
        <v>2</v>
      </c>
      <c r="T6" s="393" t="s">
        <v>3</v>
      </c>
      <c r="U6" s="125" t="s">
        <v>4</v>
      </c>
      <c r="V6" s="125" t="s">
        <v>4</v>
      </c>
      <c r="W6" s="125" t="s">
        <v>2</v>
      </c>
      <c r="X6" s="84" t="s">
        <v>2</v>
      </c>
      <c r="Y6" s="84" t="s">
        <v>1</v>
      </c>
      <c r="Z6" s="125" t="s">
        <v>2</v>
      </c>
      <c r="AA6" s="393" t="s">
        <v>3</v>
      </c>
      <c r="AB6" s="125" t="s">
        <v>4</v>
      </c>
      <c r="AC6" s="125" t="s">
        <v>4</v>
      </c>
      <c r="AD6" s="125" t="s">
        <v>2</v>
      </c>
      <c r="AE6" s="84" t="s">
        <v>2</v>
      </c>
      <c r="AF6" s="192" t="s">
        <v>1</v>
      </c>
      <c r="AG6" s="394"/>
      <c r="AH6" s="393" t="s">
        <v>2</v>
      </c>
      <c r="AI6" s="458" t="s">
        <v>3</v>
      </c>
      <c r="AJ6" s="96"/>
    </row>
    <row r="7" spans="1:37" ht="20.25" customHeight="1" thickBot="1" x14ac:dyDescent="0.25">
      <c r="A7" s="1112"/>
      <c r="B7" s="1114"/>
      <c r="C7" s="1082"/>
      <c r="D7" s="443">
        <v>1</v>
      </c>
      <c r="E7" s="126">
        <f>D7+1</f>
        <v>2</v>
      </c>
      <c r="F7" s="126">
        <f>E7+1</f>
        <v>3</v>
      </c>
      <c r="G7" s="126">
        <f t="shared" ref="G7:AG7" si="0">F7+1</f>
        <v>4</v>
      </c>
      <c r="H7" s="126">
        <f t="shared" si="0"/>
        <v>5</v>
      </c>
      <c r="I7" s="126">
        <f t="shared" si="0"/>
        <v>6</v>
      </c>
      <c r="J7" s="444">
        <f t="shared" si="0"/>
        <v>7</v>
      </c>
      <c r="K7" s="444">
        <f t="shared" si="0"/>
        <v>8</v>
      </c>
      <c r="L7" s="126">
        <f t="shared" si="0"/>
        <v>9</v>
      </c>
      <c r="M7" s="126">
        <f t="shared" si="0"/>
        <v>10</v>
      </c>
      <c r="N7" s="126">
        <f t="shared" si="0"/>
        <v>11</v>
      </c>
      <c r="O7" s="126">
        <f t="shared" si="0"/>
        <v>12</v>
      </c>
      <c r="P7" s="126">
        <f t="shared" si="0"/>
        <v>13</v>
      </c>
      <c r="Q7" s="444">
        <f t="shared" si="0"/>
        <v>14</v>
      </c>
      <c r="R7" s="444">
        <f t="shared" si="0"/>
        <v>15</v>
      </c>
      <c r="S7" s="126">
        <f t="shared" si="0"/>
        <v>16</v>
      </c>
      <c r="T7" s="126">
        <f t="shared" si="0"/>
        <v>17</v>
      </c>
      <c r="U7" s="126">
        <f t="shared" si="0"/>
        <v>18</v>
      </c>
      <c r="V7" s="126">
        <f t="shared" si="0"/>
        <v>19</v>
      </c>
      <c r="W7" s="126">
        <f t="shared" si="0"/>
        <v>20</v>
      </c>
      <c r="X7" s="444">
        <f t="shared" si="0"/>
        <v>21</v>
      </c>
      <c r="Y7" s="444">
        <f t="shared" si="0"/>
        <v>22</v>
      </c>
      <c r="Z7" s="126">
        <f t="shared" si="0"/>
        <v>23</v>
      </c>
      <c r="AA7" s="126">
        <f t="shared" si="0"/>
        <v>24</v>
      </c>
      <c r="AB7" s="126">
        <f t="shared" si="0"/>
        <v>25</v>
      </c>
      <c r="AC7" s="126">
        <f t="shared" si="0"/>
        <v>26</v>
      </c>
      <c r="AD7" s="126">
        <f t="shared" si="0"/>
        <v>27</v>
      </c>
      <c r="AE7" s="444">
        <f t="shared" si="0"/>
        <v>28</v>
      </c>
      <c r="AF7" s="444">
        <f t="shared" si="0"/>
        <v>29</v>
      </c>
      <c r="AG7" s="126">
        <f t="shared" si="0"/>
        <v>30</v>
      </c>
      <c r="AH7" s="126">
        <v>30</v>
      </c>
      <c r="AI7" s="459">
        <f>AH7+1</f>
        <v>31</v>
      </c>
      <c r="AJ7" s="96"/>
    </row>
    <row r="8" spans="1:37" ht="20.25" customHeight="1" x14ac:dyDescent="0.25">
      <c r="A8" s="88" t="s">
        <v>68</v>
      </c>
      <c r="B8" s="392" t="s">
        <v>32</v>
      </c>
      <c r="C8" s="171">
        <v>900877</v>
      </c>
      <c r="D8" s="395"/>
      <c r="E8" s="266"/>
      <c r="F8" s="396"/>
      <c r="G8" s="396"/>
      <c r="H8" s="396"/>
      <c r="I8" s="301"/>
      <c r="J8" s="396"/>
      <c r="K8" s="395"/>
      <c r="L8" s="396"/>
      <c r="M8" s="455"/>
      <c r="N8" s="396"/>
      <c r="O8" s="396"/>
      <c r="P8" s="396"/>
      <c r="Q8" s="266"/>
      <c r="R8" s="396"/>
      <c r="S8" s="395"/>
      <c r="T8" s="396"/>
      <c r="U8" s="455"/>
      <c r="V8" s="398"/>
      <c r="W8" s="396"/>
      <c r="X8" s="398"/>
      <c r="Y8" s="266"/>
      <c r="Z8" s="398"/>
      <c r="AA8" s="396"/>
      <c r="AB8" s="398"/>
      <c r="AC8" s="266"/>
      <c r="AD8" s="398"/>
      <c r="AE8" s="396"/>
      <c r="AF8" s="398"/>
      <c r="AG8" s="398"/>
      <c r="AH8" s="266"/>
      <c r="AI8" s="469"/>
      <c r="AJ8" s="96"/>
    </row>
    <row r="9" spans="1:37" ht="20.25" customHeight="1" x14ac:dyDescent="0.25">
      <c r="A9" s="88" t="s">
        <v>83</v>
      </c>
      <c r="B9" s="392" t="s">
        <v>32</v>
      </c>
      <c r="C9" s="234">
        <v>900683</v>
      </c>
      <c r="D9" s="399"/>
      <c r="E9" s="144"/>
      <c r="F9" s="401"/>
      <c r="G9" s="401"/>
      <c r="H9" s="401"/>
      <c r="I9" s="272"/>
      <c r="J9" s="401"/>
      <c r="K9" s="402"/>
      <c r="L9" s="401"/>
      <c r="M9" s="272"/>
      <c r="N9" s="401"/>
      <c r="O9" s="403"/>
      <c r="P9" s="401"/>
      <c r="Q9" s="144"/>
      <c r="R9" s="401"/>
      <c r="S9" s="402"/>
      <c r="T9" s="401"/>
      <c r="U9" s="272"/>
      <c r="V9" s="169"/>
      <c r="W9" s="399"/>
      <c r="X9" s="169"/>
      <c r="Y9" s="272"/>
      <c r="Z9" s="169"/>
      <c r="AA9" s="401"/>
      <c r="AB9" s="169"/>
      <c r="AC9" s="272"/>
      <c r="AD9" s="169"/>
      <c r="AE9" s="401"/>
      <c r="AF9" s="169"/>
      <c r="AG9" s="169"/>
      <c r="AH9" s="272"/>
      <c r="AI9" s="460"/>
      <c r="AJ9" s="96"/>
    </row>
    <row r="10" spans="1:37" ht="20.25" customHeight="1" x14ac:dyDescent="0.2">
      <c r="A10" s="86" t="s">
        <v>46</v>
      </c>
      <c r="B10" s="169" t="s">
        <v>97</v>
      </c>
      <c r="C10" s="235">
        <v>3037789</v>
      </c>
      <c r="D10" s="399"/>
      <c r="E10" s="145"/>
      <c r="F10" s="399"/>
      <c r="G10" s="399"/>
      <c r="H10" s="399"/>
      <c r="I10" s="145"/>
      <c r="J10" s="399"/>
      <c r="K10" s="399"/>
      <c r="L10" s="399"/>
      <c r="M10" s="145"/>
      <c r="N10" s="399"/>
      <c r="O10" s="399"/>
      <c r="P10" s="399"/>
      <c r="Q10" s="272"/>
      <c r="R10" s="401"/>
      <c r="S10" s="399"/>
      <c r="T10" s="401"/>
      <c r="U10" s="144"/>
      <c r="V10" s="169"/>
      <c r="W10" s="401"/>
      <c r="X10" s="169"/>
      <c r="Y10" s="144"/>
      <c r="Z10" s="169"/>
      <c r="AA10" s="401"/>
      <c r="AB10" s="169"/>
      <c r="AC10" s="272"/>
      <c r="AD10" s="169"/>
      <c r="AE10" s="401"/>
      <c r="AF10" s="169"/>
      <c r="AG10" s="169"/>
      <c r="AH10" s="272"/>
      <c r="AI10" s="460"/>
      <c r="AJ10" s="96"/>
    </row>
    <row r="11" spans="1:37" ht="16.5" customHeight="1" x14ac:dyDescent="0.25">
      <c r="A11" s="87" t="s">
        <v>12</v>
      </c>
      <c r="B11" s="169" t="s">
        <v>98</v>
      </c>
      <c r="C11" s="171">
        <v>2778807</v>
      </c>
      <c r="D11" s="404"/>
      <c r="E11" s="144"/>
      <c r="F11" s="405"/>
      <c r="G11" s="405"/>
      <c r="H11" s="405"/>
      <c r="I11" s="449"/>
      <c r="J11" s="405"/>
      <c r="K11" s="399"/>
      <c r="L11" s="405"/>
      <c r="M11" s="449"/>
      <c r="N11" s="405"/>
      <c r="O11" s="405"/>
      <c r="P11" s="405"/>
      <c r="Q11" s="144"/>
      <c r="R11" s="78"/>
      <c r="S11" s="399"/>
      <c r="T11" s="406"/>
      <c r="U11" s="142"/>
      <c r="V11" s="406"/>
      <c r="W11" s="406"/>
      <c r="X11" s="406"/>
      <c r="Y11" s="142"/>
      <c r="Z11" s="406"/>
      <c r="AA11" s="406"/>
      <c r="AB11" s="406"/>
      <c r="AC11" s="142"/>
      <c r="AD11" s="406"/>
      <c r="AE11" s="406"/>
      <c r="AF11" s="406"/>
      <c r="AG11" s="406"/>
      <c r="AH11" s="142"/>
      <c r="AI11" s="461"/>
      <c r="AJ11" s="96"/>
    </row>
    <row r="12" spans="1:37" ht="16.5" customHeight="1" x14ac:dyDescent="0.25">
      <c r="A12" s="87" t="s">
        <v>50</v>
      </c>
      <c r="B12" s="169" t="s">
        <v>98</v>
      </c>
      <c r="C12" s="173">
        <v>3037517</v>
      </c>
      <c r="D12" s="407"/>
      <c r="E12" s="144"/>
      <c r="F12" s="408"/>
      <c r="G12" s="408"/>
      <c r="H12" s="408"/>
      <c r="I12" s="454"/>
      <c r="J12" s="408"/>
      <c r="K12" s="399"/>
      <c r="L12" s="408"/>
      <c r="M12" s="454"/>
      <c r="N12" s="408"/>
      <c r="O12" s="408"/>
      <c r="P12" s="408"/>
      <c r="Q12" s="144"/>
      <c r="R12" s="410"/>
      <c r="S12" s="399"/>
      <c r="T12" s="410"/>
      <c r="U12" s="454"/>
      <c r="V12" s="406"/>
      <c r="W12" s="78"/>
      <c r="X12" s="406"/>
      <c r="Y12" s="454"/>
      <c r="Z12" s="406"/>
      <c r="AA12" s="78"/>
      <c r="AB12" s="406"/>
      <c r="AC12" s="454"/>
      <c r="AD12" s="406"/>
      <c r="AE12" s="78"/>
      <c r="AF12" s="406"/>
      <c r="AG12" s="406"/>
      <c r="AH12" s="454"/>
      <c r="AI12" s="462"/>
      <c r="AJ12" s="96"/>
    </row>
    <row r="13" spans="1:37" ht="16.5" customHeight="1" x14ac:dyDescent="0.25">
      <c r="A13" s="86" t="s">
        <v>55</v>
      </c>
      <c r="B13" s="169" t="s">
        <v>98</v>
      </c>
      <c r="C13" s="173">
        <v>3036260</v>
      </c>
      <c r="D13" s="407"/>
      <c r="E13" s="144"/>
      <c r="F13" s="407"/>
      <c r="G13" s="407"/>
      <c r="H13" s="407"/>
      <c r="I13" s="143"/>
      <c r="J13" s="407"/>
      <c r="K13" s="399"/>
      <c r="L13" s="407"/>
      <c r="M13" s="454"/>
      <c r="N13" s="408"/>
      <c r="O13" s="411"/>
      <c r="P13" s="408"/>
      <c r="Q13" s="144"/>
      <c r="R13" s="410"/>
      <c r="S13" s="399"/>
      <c r="T13" s="410"/>
      <c r="U13" s="454"/>
      <c r="V13" s="406"/>
      <c r="W13" s="78"/>
      <c r="X13" s="406"/>
      <c r="Y13" s="454"/>
      <c r="Z13" s="406"/>
      <c r="AA13" s="78"/>
      <c r="AB13" s="406"/>
      <c r="AC13" s="454"/>
      <c r="AD13" s="406"/>
      <c r="AE13" s="78"/>
      <c r="AF13" s="406"/>
      <c r="AG13" s="406"/>
      <c r="AH13" s="454"/>
      <c r="AI13" s="462"/>
      <c r="AJ13" s="96"/>
    </row>
    <row r="14" spans="1:37" ht="16.5" customHeight="1" thickBot="1" x14ac:dyDescent="0.3">
      <c r="A14" s="88" t="s">
        <v>63</v>
      </c>
      <c r="B14" s="169" t="s">
        <v>97</v>
      </c>
      <c r="C14" s="173">
        <v>3038238</v>
      </c>
      <c r="D14" s="412"/>
      <c r="E14" s="153"/>
      <c r="F14" s="413"/>
      <c r="G14" s="413"/>
      <c r="H14" s="414"/>
      <c r="I14" s="152"/>
      <c r="J14" s="139"/>
      <c r="K14" s="413"/>
      <c r="L14" s="413"/>
      <c r="M14" s="152"/>
      <c r="N14" s="413"/>
      <c r="O14" s="441"/>
      <c r="P14" s="413"/>
      <c r="Q14" s="153"/>
      <c r="R14" s="414"/>
      <c r="S14" s="413"/>
      <c r="T14" s="441"/>
      <c r="U14" s="152"/>
      <c r="V14" s="447"/>
      <c r="W14" s="441"/>
      <c r="X14" s="447"/>
      <c r="Y14" s="152"/>
      <c r="Z14" s="447"/>
      <c r="AA14" s="416"/>
      <c r="AB14" s="447"/>
      <c r="AC14" s="152"/>
      <c r="AD14" s="447"/>
      <c r="AE14" s="416"/>
      <c r="AF14" s="447"/>
      <c r="AG14" s="447"/>
      <c r="AH14" s="152"/>
      <c r="AI14" s="463"/>
      <c r="AJ14" s="96"/>
      <c r="AK14" s="66" t="s">
        <v>37</v>
      </c>
    </row>
    <row r="15" spans="1:37" ht="16.5" customHeight="1" thickBot="1" x14ac:dyDescent="0.3">
      <c r="A15" s="88" t="s">
        <v>56</v>
      </c>
      <c r="B15" s="169" t="s">
        <v>97</v>
      </c>
      <c r="C15" s="171">
        <v>3036278</v>
      </c>
      <c r="D15" s="1142" t="s">
        <v>118</v>
      </c>
      <c r="E15" s="1143"/>
      <c r="F15" s="1143"/>
      <c r="G15" s="1143"/>
      <c r="H15" s="1143"/>
      <c r="I15" s="1143"/>
      <c r="J15" s="1143"/>
      <c r="K15" s="1143"/>
      <c r="L15" s="1143"/>
      <c r="M15" s="1143"/>
      <c r="N15" s="1143"/>
      <c r="O15" s="1143"/>
      <c r="P15" s="1143"/>
      <c r="Q15" s="1143"/>
      <c r="R15" s="1144"/>
      <c r="S15" s="78"/>
      <c r="T15" s="78"/>
      <c r="U15" s="149"/>
      <c r="V15" s="78"/>
      <c r="W15" s="399"/>
      <c r="X15" s="78"/>
      <c r="Y15" s="149"/>
      <c r="Z15" s="78"/>
      <c r="AA15" s="78"/>
      <c r="AB15" s="78"/>
      <c r="AC15" s="149"/>
      <c r="AD15" s="78"/>
      <c r="AE15" s="78"/>
      <c r="AF15" s="78"/>
      <c r="AG15" s="78"/>
      <c r="AH15" s="149"/>
      <c r="AI15" s="464"/>
    </row>
    <row r="16" spans="1:37" ht="16.5" customHeight="1" x14ac:dyDescent="0.25">
      <c r="A16" s="138" t="s">
        <v>70</v>
      </c>
      <c r="B16" s="169" t="s">
        <v>97</v>
      </c>
      <c r="C16" s="171">
        <v>3137252</v>
      </c>
      <c r="D16" s="407"/>
      <c r="E16" s="147"/>
      <c r="F16" s="407"/>
      <c r="G16" s="407"/>
      <c r="H16" s="404"/>
      <c r="I16" s="145"/>
      <c r="J16" s="400"/>
      <c r="K16" s="399"/>
      <c r="L16" s="407"/>
      <c r="M16" s="144"/>
      <c r="N16" s="407"/>
      <c r="O16" s="399"/>
      <c r="P16" s="100"/>
      <c r="Q16" s="147"/>
      <c r="R16" s="415"/>
      <c r="S16" s="407"/>
      <c r="T16" s="407"/>
      <c r="U16" s="143"/>
      <c r="V16" s="407"/>
      <c r="W16" s="407"/>
      <c r="X16" s="407"/>
      <c r="Y16" s="143"/>
      <c r="Z16" s="407"/>
      <c r="AA16" s="407"/>
      <c r="AB16" s="407"/>
      <c r="AC16" s="143"/>
      <c r="AD16" s="407"/>
      <c r="AE16" s="407"/>
      <c r="AF16" s="407"/>
      <c r="AG16" s="407"/>
      <c r="AH16" s="143"/>
      <c r="AI16" s="465"/>
    </row>
    <row r="17" spans="1:37" ht="16.5" customHeight="1" x14ac:dyDescent="0.25">
      <c r="A17" s="138" t="s">
        <v>77</v>
      </c>
      <c r="B17" s="169" t="s">
        <v>98</v>
      </c>
      <c r="C17" s="171">
        <v>3036456</v>
      </c>
      <c r="D17" s="417"/>
      <c r="E17" s="452"/>
      <c r="F17" s="417"/>
      <c r="G17" s="417"/>
      <c r="H17" s="419"/>
      <c r="I17" s="158"/>
      <c r="J17" s="420"/>
      <c r="K17" s="417"/>
      <c r="L17" s="417"/>
      <c r="M17" s="165"/>
      <c r="N17" s="417"/>
      <c r="O17" s="403"/>
      <c r="P17" s="418"/>
      <c r="Q17" s="452"/>
      <c r="R17" s="421"/>
      <c r="S17" s="417"/>
      <c r="T17" s="418"/>
      <c r="U17" s="165"/>
      <c r="V17" s="421"/>
      <c r="W17" s="403"/>
      <c r="X17" s="417"/>
      <c r="Y17" s="452"/>
      <c r="Z17" s="417"/>
      <c r="AA17" s="417"/>
      <c r="AB17" s="417"/>
      <c r="AC17" s="452"/>
      <c r="AD17" s="417"/>
      <c r="AE17" s="417"/>
      <c r="AF17" s="417"/>
      <c r="AG17" s="422"/>
      <c r="AH17" s="452"/>
      <c r="AI17" s="439"/>
    </row>
    <row r="18" spans="1:37" ht="16.5" customHeight="1" thickBot="1" x14ac:dyDescent="0.3">
      <c r="A18" s="175" t="s">
        <v>57</v>
      </c>
      <c r="B18" s="170" t="s">
        <v>97</v>
      </c>
      <c r="C18" s="236">
        <v>3376460</v>
      </c>
      <c r="D18" s="423"/>
      <c r="E18" s="453"/>
      <c r="F18" s="423"/>
      <c r="G18" s="423"/>
      <c r="H18" s="423"/>
      <c r="I18" s="157"/>
      <c r="J18" s="423"/>
      <c r="K18" s="423"/>
      <c r="L18" s="423"/>
      <c r="M18" s="456"/>
      <c r="N18" s="425"/>
      <c r="O18" s="424"/>
      <c r="P18" s="425"/>
      <c r="Q18" s="453"/>
      <c r="R18" s="425"/>
      <c r="S18" s="423"/>
      <c r="T18" s="170"/>
      <c r="U18" s="456"/>
      <c r="V18" s="170"/>
      <c r="W18" s="424"/>
      <c r="X18" s="170"/>
      <c r="Y18" s="453"/>
      <c r="Z18" s="170"/>
      <c r="AA18" s="423"/>
      <c r="AB18" s="170"/>
      <c r="AC18" s="453"/>
      <c r="AD18" s="170"/>
      <c r="AE18" s="423"/>
      <c r="AF18" s="170"/>
      <c r="AG18" s="170"/>
      <c r="AH18" s="453"/>
      <c r="AI18" s="475"/>
    </row>
    <row r="19" spans="1:37" ht="16.5" customHeight="1" thickBot="1" x14ac:dyDescent="0.3">
      <c r="A19" s="180"/>
      <c r="B19" s="181"/>
      <c r="C19" s="182"/>
      <c r="D19" s="426"/>
      <c r="E19" s="426"/>
      <c r="F19" s="426"/>
      <c r="G19" s="426"/>
      <c r="H19" s="426"/>
      <c r="I19" s="426"/>
      <c r="J19" s="426"/>
      <c r="K19" s="426"/>
      <c r="L19" s="426"/>
      <c r="M19" s="426"/>
      <c r="N19" s="426"/>
      <c r="O19" s="426"/>
      <c r="P19" s="426"/>
      <c r="Q19" s="426"/>
      <c r="R19" s="426"/>
      <c r="S19" s="426"/>
      <c r="T19" s="426"/>
      <c r="U19" s="426"/>
      <c r="V19" s="426"/>
      <c r="W19" s="426"/>
      <c r="X19" s="426"/>
      <c r="Y19" s="426"/>
      <c r="Z19" s="426"/>
      <c r="AA19" s="426"/>
      <c r="AB19" s="426"/>
      <c r="AC19" s="426"/>
      <c r="AD19" s="426"/>
      <c r="AE19" s="426"/>
      <c r="AF19" s="426"/>
      <c r="AG19" s="426"/>
      <c r="AH19" s="426"/>
    </row>
    <row r="20" spans="1:37" ht="17.25" customHeight="1" x14ac:dyDescent="0.2">
      <c r="A20" s="1116" t="s">
        <v>8</v>
      </c>
      <c r="B20" s="1118" t="s">
        <v>34</v>
      </c>
      <c r="C20" s="1120" t="s">
        <v>17</v>
      </c>
      <c r="D20" s="442" t="s">
        <v>1</v>
      </c>
      <c r="E20" s="125" t="s">
        <v>2</v>
      </c>
      <c r="F20" s="393" t="s">
        <v>3</v>
      </c>
      <c r="G20" s="125" t="s">
        <v>4</v>
      </c>
      <c r="H20" s="125" t="s">
        <v>4</v>
      </c>
      <c r="I20" s="125" t="s">
        <v>2</v>
      </c>
      <c r="J20" s="84" t="s">
        <v>2</v>
      </c>
      <c r="K20" s="84" t="s">
        <v>1</v>
      </c>
      <c r="L20" s="125" t="s">
        <v>2</v>
      </c>
      <c r="M20" s="393" t="s">
        <v>3</v>
      </c>
      <c r="N20" s="125" t="s">
        <v>4</v>
      </c>
      <c r="O20" s="125" t="s">
        <v>4</v>
      </c>
      <c r="P20" s="125" t="s">
        <v>2</v>
      </c>
      <c r="Q20" s="84" t="s">
        <v>2</v>
      </c>
      <c r="R20" s="84" t="s">
        <v>1</v>
      </c>
      <c r="S20" s="125" t="s">
        <v>2</v>
      </c>
      <c r="T20" s="393" t="s">
        <v>3</v>
      </c>
      <c r="U20" s="125" t="s">
        <v>4</v>
      </c>
      <c r="V20" s="125" t="s">
        <v>4</v>
      </c>
      <c r="W20" s="125" t="s">
        <v>2</v>
      </c>
      <c r="X20" s="84" t="s">
        <v>2</v>
      </c>
      <c r="Y20" s="84" t="s">
        <v>1</v>
      </c>
      <c r="Z20" s="125" t="s">
        <v>2</v>
      </c>
      <c r="AA20" s="393" t="s">
        <v>3</v>
      </c>
      <c r="AB20" s="125" t="s">
        <v>4</v>
      </c>
      <c r="AC20" s="125" t="s">
        <v>4</v>
      </c>
      <c r="AD20" s="125" t="s">
        <v>2</v>
      </c>
      <c r="AE20" s="84" t="s">
        <v>2</v>
      </c>
      <c r="AF20" s="192" t="s">
        <v>1</v>
      </c>
      <c r="AG20" s="394"/>
      <c r="AH20" s="393" t="s">
        <v>2</v>
      </c>
      <c r="AI20" s="458" t="s">
        <v>3</v>
      </c>
    </row>
    <row r="21" spans="1:37" ht="17.25" customHeight="1" thickBot="1" x14ac:dyDescent="0.25">
      <c r="A21" s="1117"/>
      <c r="B21" s="1119"/>
      <c r="C21" s="1121"/>
      <c r="D21" s="443">
        <v>1</v>
      </c>
      <c r="E21" s="126">
        <f>D21+1</f>
        <v>2</v>
      </c>
      <c r="F21" s="126">
        <f>E21+1</f>
        <v>3</v>
      </c>
      <c r="G21" s="126">
        <f t="shared" ref="G21:AG21" si="1">F21+1</f>
        <v>4</v>
      </c>
      <c r="H21" s="126">
        <f t="shared" si="1"/>
        <v>5</v>
      </c>
      <c r="I21" s="126">
        <f t="shared" si="1"/>
        <v>6</v>
      </c>
      <c r="J21" s="444">
        <f t="shared" si="1"/>
        <v>7</v>
      </c>
      <c r="K21" s="444">
        <f t="shared" si="1"/>
        <v>8</v>
      </c>
      <c r="L21" s="126">
        <f t="shared" si="1"/>
        <v>9</v>
      </c>
      <c r="M21" s="126">
        <f t="shared" si="1"/>
        <v>10</v>
      </c>
      <c r="N21" s="126">
        <f t="shared" si="1"/>
        <v>11</v>
      </c>
      <c r="O21" s="126">
        <f t="shared" si="1"/>
        <v>12</v>
      </c>
      <c r="P21" s="126">
        <f t="shared" si="1"/>
        <v>13</v>
      </c>
      <c r="Q21" s="444">
        <f t="shared" si="1"/>
        <v>14</v>
      </c>
      <c r="R21" s="444">
        <f t="shared" si="1"/>
        <v>15</v>
      </c>
      <c r="S21" s="126">
        <f t="shared" si="1"/>
        <v>16</v>
      </c>
      <c r="T21" s="126">
        <f t="shared" si="1"/>
        <v>17</v>
      </c>
      <c r="U21" s="126">
        <f t="shared" si="1"/>
        <v>18</v>
      </c>
      <c r="V21" s="126">
        <f t="shared" si="1"/>
        <v>19</v>
      </c>
      <c r="W21" s="126">
        <f t="shared" si="1"/>
        <v>20</v>
      </c>
      <c r="X21" s="444">
        <f t="shared" si="1"/>
        <v>21</v>
      </c>
      <c r="Y21" s="444">
        <f t="shared" si="1"/>
        <v>22</v>
      </c>
      <c r="Z21" s="126">
        <f t="shared" si="1"/>
        <v>23</v>
      </c>
      <c r="AA21" s="126">
        <f t="shared" si="1"/>
        <v>24</v>
      </c>
      <c r="AB21" s="126">
        <f t="shared" si="1"/>
        <v>25</v>
      </c>
      <c r="AC21" s="126">
        <f t="shared" si="1"/>
        <v>26</v>
      </c>
      <c r="AD21" s="126">
        <f t="shared" si="1"/>
        <v>27</v>
      </c>
      <c r="AE21" s="444">
        <f t="shared" si="1"/>
        <v>28</v>
      </c>
      <c r="AF21" s="444">
        <f t="shared" si="1"/>
        <v>29</v>
      </c>
      <c r="AG21" s="126">
        <f t="shared" si="1"/>
        <v>30</v>
      </c>
      <c r="AH21" s="126">
        <v>30</v>
      </c>
      <c r="AI21" s="459">
        <f>AH21+1</f>
        <v>31</v>
      </c>
    </row>
    <row r="22" spans="1:37" ht="17.25" customHeight="1" x14ac:dyDescent="0.2">
      <c r="A22" s="91" t="s">
        <v>109</v>
      </c>
      <c r="B22" s="392" t="s">
        <v>32</v>
      </c>
      <c r="C22" s="173">
        <v>899700</v>
      </c>
      <c r="D22" s="395"/>
      <c r="E22" s="396"/>
      <c r="F22" s="266"/>
      <c r="G22" s="396"/>
      <c r="H22" s="399"/>
      <c r="I22" s="395"/>
      <c r="J22" s="266"/>
      <c r="K22" s="396"/>
      <c r="L22" s="396"/>
      <c r="M22" s="397"/>
      <c r="N22" s="266"/>
      <c r="O22" s="396"/>
      <c r="P22" s="399"/>
      <c r="Q22" s="396"/>
      <c r="R22" s="266"/>
      <c r="S22" s="396"/>
      <c r="T22" s="396"/>
      <c r="U22" s="397"/>
      <c r="V22" s="267"/>
      <c r="W22" s="396"/>
      <c r="X22" s="398"/>
      <c r="Y22" s="396"/>
      <c r="Z22" s="267"/>
      <c r="AA22" s="396"/>
      <c r="AB22" s="398"/>
      <c r="AC22" s="396"/>
      <c r="AD22" s="267"/>
      <c r="AE22" s="396"/>
      <c r="AF22" s="398"/>
      <c r="AG22" s="398"/>
      <c r="AH22" s="467"/>
      <c r="AI22" s="267"/>
      <c r="AK22" s="1" t="s">
        <v>37</v>
      </c>
    </row>
    <row r="23" spans="1:37" ht="17.25" customHeight="1" x14ac:dyDescent="0.25">
      <c r="A23" s="91" t="s">
        <v>110</v>
      </c>
      <c r="B23" s="392" t="s">
        <v>32</v>
      </c>
      <c r="C23" s="171">
        <v>899607</v>
      </c>
      <c r="D23" s="399"/>
      <c r="E23" s="400"/>
      <c r="F23" s="272"/>
      <c r="G23" s="401"/>
      <c r="H23" s="401"/>
      <c r="I23" s="401"/>
      <c r="J23" s="272"/>
      <c r="K23" s="401"/>
      <c r="L23" s="399"/>
      <c r="M23" s="401"/>
      <c r="N23" s="272"/>
      <c r="O23" s="401"/>
      <c r="P23" s="401"/>
      <c r="Q23" s="400"/>
      <c r="R23" s="272"/>
      <c r="S23" s="401"/>
      <c r="T23" s="399"/>
      <c r="U23" s="401"/>
      <c r="V23" s="273"/>
      <c r="W23" s="401"/>
      <c r="X23" s="169"/>
      <c r="Y23" s="401"/>
      <c r="Z23" s="273"/>
      <c r="AA23" s="401"/>
      <c r="AB23" s="169"/>
      <c r="AC23" s="401"/>
      <c r="AD23" s="273"/>
      <c r="AE23" s="401"/>
      <c r="AF23" s="169"/>
      <c r="AG23" s="169"/>
      <c r="AH23" s="401"/>
      <c r="AI23" s="273"/>
    </row>
    <row r="24" spans="1:37" ht="17.25" customHeight="1" x14ac:dyDescent="0.2">
      <c r="A24" s="88" t="s">
        <v>65</v>
      </c>
      <c r="B24" s="169" t="s">
        <v>97</v>
      </c>
      <c r="C24" s="173">
        <v>3037274</v>
      </c>
      <c r="D24" s="399"/>
      <c r="E24" s="399"/>
      <c r="F24" s="145"/>
      <c r="G24" s="399"/>
      <c r="H24" s="399"/>
      <c r="I24" s="399"/>
      <c r="J24" s="145"/>
      <c r="K24" s="399"/>
      <c r="L24" s="399"/>
      <c r="M24" s="399"/>
      <c r="N24" s="145"/>
      <c r="O24" s="399"/>
      <c r="P24" s="399"/>
      <c r="Q24" s="401"/>
      <c r="R24" s="272"/>
      <c r="S24" s="401"/>
      <c r="T24" s="401"/>
      <c r="U24" s="400"/>
      <c r="V24" s="273"/>
      <c r="W24" s="401"/>
      <c r="X24" s="169"/>
      <c r="Y24" s="400"/>
      <c r="Z24" s="273"/>
      <c r="AA24" s="401"/>
      <c r="AB24" s="169"/>
      <c r="AC24" s="401"/>
      <c r="AD24" s="273"/>
      <c r="AE24" s="401"/>
      <c r="AF24" s="169"/>
      <c r="AG24" s="169"/>
      <c r="AH24" s="401"/>
      <c r="AI24" s="273"/>
    </row>
    <row r="25" spans="1:37" ht="16.5" customHeight="1" x14ac:dyDescent="0.25">
      <c r="A25" s="86" t="s">
        <v>52</v>
      </c>
      <c r="B25" s="169" t="s">
        <v>98</v>
      </c>
      <c r="C25" s="173">
        <v>3037754</v>
      </c>
      <c r="D25" s="404"/>
      <c r="E25" s="400"/>
      <c r="F25" s="449"/>
      <c r="G25" s="405"/>
      <c r="H25" s="399"/>
      <c r="I25" s="405"/>
      <c r="J25" s="449"/>
      <c r="K25" s="405"/>
      <c r="L25" s="405"/>
      <c r="M25" s="405"/>
      <c r="N25" s="449"/>
      <c r="O25" s="405"/>
      <c r="P25" s="399"/>
      <c r="Q25" s="400"/>
      <c r="R25" s="149"/>
      <c r="S25" s="406"/>
      <c r="T25" s="406"/>
      <c r="U25" s="406"/>
      <c r="V25" s="142"/>
      <c r="W25" s="406"/>
      <c r="X25" s="406"/>
      <c r="Y25" s="406"/>
      <c r="Z25" s="142"/>
      <c r="AA25" s="406"/>
      <c r="AB25" s="406"/>
      <c r="AC25" s="406"/>
      <c r="AD25" s="142"/>
      <c r="AE25" s="406"/>
      <c r="AF25" s="406"/>
      <c r="AG25" s="406"/>
      <c r="AH25" s="406"/>
      <c r="AI25" s="142"/>
    </row>
    <row r="26" spans="1:37" ht="16.5" customHeight="1" x14ac:dyDescent="0.25">
      <c r="A26" s="89" t="s">
        <v>54</v>
      </c>
      <c r="B26" s="169" t="s">
        <v>98</v>
      </c>
      <c r="C26" s="171">
        <v>3038840</v>
      </c>
      <c r="D26" s="407"/>
      <c r="E26" s="400"/>
      <c r="F26" s="141"/>
      <c r="G26" s="408"/>
      <c r="H26" s="399"/>
      <c r="I26" s="409"/>
      <c r="J26" s="141"/>
      <c r="K26" s="408"/>
      <c r="L26" s="408"/>
      <c r="M26" s="409"/>
      <c r="N26" s="141"/>
      <c r="O26" s="408"/>
      <c r="P26" s="399"/>
      <c r="Q26" s="400"/>
      <c r="R26" s="280"/>
      <c r="S26" s="408"/>
      <c r="T26" s="410"/>
      <c r="U26" s="409"/>
      <c r="V26" s="142"/>
      <c r="W26" s="78"/>
      <c r="X26" s="406"/>
      <c r="Y26" s="409"/>
      <c r="Z26" s="142"/>
      <c r="AA26" s="78"/>
      <c r="AB26" s="406"/>
      <c r="AC26" s="409"/>
      <c r="AD26" s="142"/>
      <c r="AE26" s="78"/>
      <c r="AF26" s="406"/>
      <c r="AG26" s="406"/>
      <c r="AH26" s="409"/>
      <c r="AI26" s="142"/>
    </row>
    <row r="27" spans="1:37" ht="16.5" customHeight="1" x14ac:dyDescent="0.25">
      <c r="A27" s="89" t="s">
        <v>40</v>
      </c>
      <c r="B27" s="169" t="s">
        <v>98</v>
      </c>
      <c r="C27" s="171">
        <v>3037703</v>
      </c>
      <c r="D27" s="407"/>
      <c r="E27" s="400"/>
      <c r="F27" s="143"/>
      <c r="G27" s="407"/>
      <c r="H27" s="399"/>
      <c r="I27" s="407"/>
      <c r="J27" s="143"/>
      <c r="K27" s="407"/>
      <c r="L27" s="407"/>
      <c r="M27" s="409"/>
      <c r="N27" s="141"/>
      <c r="O27" s="408"/>
      <c r="P27" s="399"/>
      <c r="Q27" s="400"/>
      <c r="R27" s="280"/>
      <c r="S27" s="408"/>
      <c r="T27" s="399"/>
      <c r="U27" s="409"/>
      <c r="V27" s="142"/>
      <c r="W27" s="78"/>
      <c r="X27" s="406"/>
      <c r="Y27" s="409"/>
      <c r="Z27" s="142"/>
      <c r="AA27" s="78"/>
      <c r="AB27" s="406"/>
      <c r="AC27" s="409"/>
      <c r="AD27" s="142"/>
      <c r="AE27" s="78"/>
      <c r="AF27" s="406"/>
      <c r="AG27" s="406"/>
      <c r="AH27" s="409"/>
      <c r="AI27" s="142"/>
    </row>
    <row r="28" spans="1:37" ht="16.5" customHeight="1" x14ac:dyDescent="0.25">
      <c r="A28" s="89" t="s">
        <v>84</v>
      </c>
      <c r="B28" s="169" t="s">
        <v>97</v>
      </c>
      <c r="C28" s="65">
        <v>2967316</v>
      </c>
      <c r="D28" s="404"/>
      <c r="E28" s="400"/>
      <c r="F28" s="143"/>
      <c r="G28" s="407"/>
      <c r="H28" s="415"/>
      <c r="I28" s="407"/>
      <c r="J28" s="144"/>
      <c r="K28" s="407"/>
      <c r="L28" s="399"/>
      <c r="M28" s="407"/>
      <c r="N28" s="143"/>
      <c r="O28" s="407"/>
      <c r="P28" s="407"/>
      <c r="Q28" s="400"/>
      <c r="R28" s="283"/>
      <c r="S28" s="407"/>
      <c r="T28" s="399"/>
      <c r="U28" s="407"/>
      <c r="V28" s="142"/>
      <c r="W28" s="78"/>
      <c r="X28" s="406"/>
      <c r="Y28" s="407"/>
      <c r="Z28" s="142"/>
      <c r="AA28" s="78"/>
      <c r="AB28" s="406"/>
      <c r="AC28" s="407"/>
      <c r="AD28" s="142"/>
      <c r="AE28" s="78"/>
      <c r="AF28" s="406"/>
      <c r="AG28" s="406"/>
      <c r="AH28" s="407"/>
      <c r="AI28" s="142"/>
    </row>
    <row r="29" spans="1:37" ht="16.5" customHeight="1" x14ac:dyDescent="0.25">
      <c r="A29" s="89" t="s">
        <v>78</v>
      </c>
      <c r="B29" s="169" t="s">
        <v>97</v>
      </c>
      <c r="C29" s="65">
        <v>2500892</v>
      </c>
      <c r="D29" s="407"/>
      <c r="E29" s="400"/>
      <c r="F29" s="143"/>
      <c r="G29" s="407"/>
      <c r="H29" s="407"/>
      <c r="I29" s="399"/>
      <c r="J29" s="144"/>
      <c r="K29" s="407"/>
      <c r="L29" s="399"/>
      <c r="M29" s="400"/>
      <c r="N29" s="143"/>
      <c r="O29" s="407"/>
      <c r="P29" s="407"/>
      <c r="Q29" s="407"/>
      <c r="R29" s="149"/>
      <c r="S29" s="78"/>
      <c r="T29" s="399"/>
      <c r="U29" s="78"/>
      <c r="V29" s="149"/>
      <c r="W29" s="78"/>
      <c r="X29" s="78"/>
      <c r="Y29" s="78"/>
      <c r="Z29" s="149"/>
      <c r="AA29" s="78"/>
      <c r="AB29" s="78"/>
      <c r="AC29" s="78"/>
      <c r="AD29" s="149"/>
      <c r="AE29" s="78"/>
      <c r="AF29" s="78"/>
      <c r="AG29" s="78"/>
      <c r="AH29" s="78"/>
      <c r="AI29" s="149"/>
    </row>
    <row r="30" spans="1:37" ht="16.5" customHeight="1" thickBot="1" x14ac:dyDescent="0.3">
      <c r="A30" s="89" t="s">
        <v>79</v>
      </c>
      <c r="B30" s="169" t="s">
        <v>97</v>
      </c>
      <c r="C30" s="385">
        <v>3133923</v>
      </c>
      <c r="D30" s="413"/>
      <c r="E30" s="428"/>
      <c r="F30" s="152"/>
      <c r="G30" s="413"/>
      <c r="H30" s="412"/>
      <c r="I30" s="441"/>
      <c r="J30" s="153"/>
      <c r="K30" s="413"/>
      <c r="L30" s="441"/>
      <c r="M30" s="139"/>
      <c r="N30" s="152"/>
      <c r="O30" s="413"/>
      <c r="P30" s="428"/>
      <c r="Q30" s="428"/>
      <c r="R30" s="290"/>
      <c r="S30" s="413"/>
      <c r="T30" s="399"/>
      <c r="U30" s="139"/>
      <c r="V30" s="290"/>
      <c r="W30" s="413"/>
      <c r="X30" s="413"/>
      <c r="Y30" s="428"/>
      <c r="Z30" s="152"/>
      <c r="AA30" s="413"/>
      <c r="AB30" s="413"/>
      <c r="AC30" s="428"/>
      <c r="AD30" s="152"/>
      <c r="AE30" s="413"/>
      <c r="AF30" s="413"/>
      <c r="AG30" s="429"/>
      <c r="AH30" s="100"/>
      <c r="AI30" s="152"/>
    </row>
    <row r="31" spans="1:37" ht="16.5" customHeight="1" thickBot="1" x14ac:dyDescent="0.3">
      <c r="A31" s="93" t="s">
        <v>82</v>
      </c>
      <c r="B31" s="170" t="s">
        <v>97</v>
      </c>
      <c r="C31" s="261">
        <v>3272451</v>
      </c>
      <c r="D31" s="1142" t="s">
        <v>118</v>
      </c>
      <c r="E31" s="1143"/>
      <c r="F31" s="1143"/>
      <c r="G31" s="1143"/>
      <c r="H31" s="1143"/>
      <c r="I31" s="1143"/>
      <c r="J31" s="1143"/>
      <c r="K31" s="1143"/>
      <c r="L31" s="1143"/>
      <c r="M31" s="1143"/>
      <c r="N31" s="1143"/>
      <c r="O31" s="1143"/>
      <c r="P31" s="1143"/>
      <c r="Q31" s="1143"/>
      <c r="R31" s="1143"/>
      <c r="S31" s="1144"/>
      <c r="T31" s="477"/>
      <c r="U31" s="423"/>
      <c r="V31" s="176"/>
      <c r="W31" s="423"/>
      <c r="X31" s="423"/>
      <c r="Y31" s="423"/>
      <c r="Z31" s="176"/>
      <c r="AA31" s="423"/>
      <c r="AB31" s="423"/>
      <c r="AC31" s="423"/>
      <c r="AD31" s="176"/>
      <c r="AE31" s="423"/>
      <c r="AF31" s="423"/>
      <c r="AG31" s="423"/>
      <c r="AH31" s="430"/>
      <c r="AI31" s="176"/>
    </row>
    <row r="32" spans="1:37" ht="16.5" customHeight="1" thickBot="1" x14ac:dyDescent="0.3">
      <c r="A32" s="178"/>
      <c r="B32" s="179"/>
      <c r="C32" s="183"/>
      <c r="D32" s="433"/>
      <c r="E32" s="434"/>
      <c r="F32" s="433"/>
      <c r="G32" s="433"/>
      <c r="H32" s="433"/>
      <c r="I32" s="58"/>
      <c r="J32" s="435"/>
      <c r="K32" s="433"/>
      <c r="L32" s="433"/>
      <c r="M32" s="433"/>
      <c r="N32" s="435"/>
      <c r="O32" s="433"/>
      <c r="P32" s="433"/>
      <c r="Q32" s="433"/>
      <c r="R32" s="435"/>
      <c r="S32" s="58"/>
      <c r="T32" s="58"/>
      <c r="U32" s="58"/>
      <c r="V32" s="435"/>
      <c r="W32" s="58"/>
      <c r="X32" s="58"/>
      <c r="Y32" s="58"/>
      <c r="Z32" s="435"/>
      <c r="AA32" s="58"/>
      <c r="AB32" s="58"/>
      <c r="AC32" s="58"/>
      <c r="AD32" s="435"/>
      <c r="AE32" s="58"/>
      <c r="AF32" s="58"/>
      <c r="AG32" s="4"/>
      <c r="AH32" s="436"/>
    </row>
    <row r="33" spans="1:51" ht="17.25" customHeight="1" x14ac:dyDescent="0.2">
      <c r="A33" s="1109" t="s">
        <v>5</v>
      </c>
      <c r="B33" s="1099" t="s">
        <v>34</v>
      </c>
      <c r="C33" s="1101" t="s">
        <v>17</v>
      </c>
      <c r="D33" s="442" t="s">
        <v>1</v>
      </c>
      <c r="E33" s="125" t="s">
        <v>2</v>
      </c>
      <c r="F33" s="393" t="s">
        <v>3</v>
      </c>
      <c r="G33" s="125" t="s">
        <v>4</v>
      </c>
      <c r="H33" s="125" t="s">
        <v>4</v>
      </c>
      <c r="I33" s="125" t="s">
        <v>2</v>
      </c>
      <c r="J33" s="84" t="s">
        <v>2</v>
      </c>
      <c r="K33" s="84" t="s">
        <v>1</v>
      </c>
      <c r="L33" s="125" t="s">
        <v>2</v>
      </c>
      <c r="M33" s="393" t="s">
        <v>3</v>
      </c>
      <c r="N33" s="125" t="s">
        <v>4</v>
      </c>
      <c r="O33" s="125" t="s">
        <v>4</v>
      </c>
      <c r="P33" s="125" t="s">
        <v>2</v>
      </c>
      <c r="Q33" s="84" t="s">
        <v>2</v>
      </c>
      <c r="R33" s="84" t="s">
        <v>1</v>
      </c>
      <c r="S33" s="125" t="s">
        <v>2</v>
      </c>
      <c r="T33" s="393" t="s">
        <v>3</v>
      </c>
      <c r="U33" s="125" t="s">
        <v>4</v>
      </c>
      <c r="V33" s="125" t="s">
        <v>4</v>
      </c>
      <c r="W33" s="125" t="s">
        <v>2</v>
      </c>
      <c r="X33" s="84" t="s">
        <v>2</v>
      </c>
      <c r="Y33" s="84" t="s">
        <v>1</v>
      </c>
      <c r="Z33" s="125" t="s">
        <v>2</v>
      </c>
      <c r="AA33" s="393" t="s">
        <v>3</v>
      </c>
      <c r="AB33" s="125" t="s">
        <v>4</v>
      </c>
      <c r="AC33" s="125" t="s">
        <v>4</v>
      </c>
      <c r="AD33" s="125" t="s">
        <v>2</v>
      </c>
      <c r="AE33" s="84" t="s">
        <v>2</v>
      </c>
      <c r="AF33" s="192" t="s">
        <v>1</v>
      </c>
      <c r="AG33" s="394"/>
      <c r="AH33" s="393" t="s">
        <v>2</v>
      </c>
      <c r="AI33" s="458" t="s">
        <v>3</v>
      </c>
    </row>
    <row r="34" spans="1:51" ht="17.25" customHeight="1" thickBot="1" x14ac:dyDescent="0.25">
      <c r="A34" s="1110"/>
      <c r="B34" s="1100"/>
      <c r="C34" s="1102"/>
      <c r="D34" s="443">
        <v>1</v>
      </c>
      <c r="E34" s="126">
        <f>D34+1</f>
        <v>2</v>
      </c>
      <c r="F34" s="126">
        <f>E34+1</f>
        <v>3</v>
      </c>
      <c r="G34" s="126">
        <f t="shared" ref="G34:AG34" si="2">F34+1</f>
        <v>4</v>
      </c>
      <c r="H34" s="126">
        <f t="shared" si="2"/>
        <v>5</v>
      </c>
      <c r="I34" s="126">
        <f t="shared" si="2"/>
        <v>6</v>
      </c>
      <c r="J34" s="444">
        <f t="shared" si="2"/>
        <v>7</v>
      </c>
      <c r="K34" s="444">
        <f t="shared" si="2"/>
        <v>8</v>
      </c>
      <c r="L34" s="126">
        <f t="shared" si="2"/>
        <v>9</v>
      </c>
      <c r="M34" s="126">
        <f t="shared" si="2"/>
        <v>10</v>
      </c>
      <c r="N34" s="126">
        <f t="shared" si="2"/>
        <v>11</v>
      </c>
      <c r="O34" s="126">
        <f t="shared" si="2"/>
        <v>12</v>
      </c>
      <c r="P34" s="126">
        <f t="shared" si="2"/>
        <v>13</v>
      </c>
      <c r="Q34" s="444">
        <f t="shared" si="2"/>
        <v>14</v>
      </c>
      <c r="R34" s="444">
        <f t="shared" si="2"/>
        <v>15</v>
      </c>
      <c r="S34" s="126">
        <f t="shared" si="2"/>
        <v>16</v>
      </c>
      <c r="T34" s="126">
        <f t="shared" si="2"/>
        <v>17</v>
      </c>
      <c r="U34" s="126">
        <f t="shared" si="2"/>
        <v>18</v>
      </c>
      <c r="V34" s="126">
        <f t="shared" si="2"/>
        <v>19</v>
      </c>
      <c r="W34" s="126">
        <f t="shared" si="2"/>
        <v>20</v>
      </c>
      <c r="X34" s="444">
        <f t="shared" si="2"/>
        <v>21</v>
      </c>
      <c r="Y34" s="444">
        <f t="shared" si="2"/>
        <v>22</v>
      </c>
      <c r="Z34" s="126">
        <f t="shared" si="2"/>
        <v>23</v>
      </c>
      <c r="AA34" s="126">
        <f t="shared" si="2"/>
        <v>24</v>
      </c>
      <c r="AB34" s="126">
        <f t="shared" si="2"/>
        <v>25</v>
      </c>
      <c r="AC34" s="126">
        <f t="shared" si="2"/>
        <v>26</v>
      </c>
      <c r="AD34" s="126">
        <f t="shared" si="2"/>
        <v>27</v>
      </c>
      <c r="AE34" s="444">
        <f t="shared" si="2"/>
        <v>28</v>
      </c>
      <c r="AF34" s="444">
        <f t="shared" si="2"/>
        <v>29</v>
      </c>
      <c r="AG34" s="126">
        <f t="shared" si="2"/>
        <v>30</v>
      </c>
      <c r="AH34" s="126">
        <v>30</v>
      </c>
      <c r="AI34" s="459">
        <f>AH34+1</f>
        <v>31</v>
      </c>
    </row>
    <row r="35" spans="1:51" ht="17.25" customHeight="1" x14ac:dyDescent="0.25">
      <c r="A35" s="92" t="s">
        <v>111</v>
      </c>
      <c r="B35" s="392" t="s">
        <v>32</v>
      </c>
      <c r="C35" s="171">
        <v>902114</v>
      </c>
      <c r="D35" s="395"/>
      <c r="E35" s="400"/>
      <c r="F35" s="396"/>
      <c r="G35" s="266"/>
      <c r="H35" s="396"/>
      <c r="I35" s="395"/>
      <c r="J35" s="396"/>
      <c r="K35" s="266"/>
      <c r="L35" s="396"/>
      <c r="M35" s="397"/>
      <c r="N35" s="396"/>
      <c r="O35" s="266"/>
      <c r="P35" s="396"/>
      <c r="Q35" s="400"/>
      <c r="R35" s="396"/>
      <c r="S35" s="266"/>
      <c r="T35" s="396"/>
      <c r="U35" s="397"/>
      <c r="V35" s="398"/>
      <c r="W35" s="266"/>
      <c r="X35" s="398"/>
      <c r="Y35" s="396"/>
      <c r="Z35" s="398"/>
      <c r="AA35" s="266"/>
      <c r="AB35" s="398"/>
      <c r="AC35" s="396"/>
      <c r="AD35" s="398"/>
      <c r="AE35" s="266"/>
      <c r="AF35" s="398"/>
      <c r="AG35" s="398"/>
      <c r="AH35" s="467"/>
      <c r="AI35" s="469"/>
    </row>
    <row r="36" spans="1:51" ht="16.5" customHeight="1" x14ac:dyDescent="0.25">
      <c r="A36" s="88" t="s">
        <v>112</v>
      </c>
      <c r="B36" s="392" t="s">
        <v>32</v>
      </c>
      <c r="C36" s="172">
        <v>902801</v>
      </c>
      <c r="D36" s="399"/>
      <c r="E36" s="400"/>
      <c r="F36" s="401"/>
      <c r="G36" s="272"/>
      <c r="H36" s="401"/>
      <c r="I36" s="400"/>
      <c r="J36" s="401"/>
      <c r="K36" s="272"/>
      <c r="L36" s="401"/>
      <c r="M36" s="401"/>
      <c r="N36" s="401"/>
      <c r="O36" s="272"/>
      <c r="P36" s="401"/>
      <c r="Q36" s="400"/>
      <c r="R36" s="401"/>
      <c r="S36" s="272"/>
      <c r="T36" s="401"/>
      <c r="U36" s="401"/>
      <c r="V36" s="169"/>
      <c r="W36" s="272"/>
      <c r="X36" s="169"/>
      <c r="Y36" s="399"/>
      <c r="Z36" s="169"/>
      <c r="AA36" s="272"/>
      <c r="AB36" s="169"/>
      <c r="AC36" s="401"/>
      <c r="AD36" s="169"/>
      <c r="AE36" s="272"/>
      <c r="AF36" s="169"/>
      <c r="AG36" s="169"/>
      <c r="AH36" s="401"/>
      <c r="AI36" s="460"/>
    </row>
    <row r="37" spans="1:51" ht="16.5" customHeight="1" x14ac:dyDescent="0.25">
      <c r="A37" s="86" t="s">
        <v>14</v>
      </c>
      <c r="B37" s="169" t="s">
        <v>98</v>
      </c>
      <c r="C37" s="171">
        <v>2982390</v>
      </c>
      <c r="D37" s="399"/>
      <c r="E37" s="400"/>
      <c r="F37" s="399"/>
      <c r="G37" s="145"/>
      <c r="H37" s="399"/>
      <c r="I37" s="399"/>
      <c r="J37" s="399"/>
      <c r="K37" s="145"/>
      <c r="L37" s="399"/>
      <c r="M37" s="399"/>
      <c r="N37" s="399"/>
      <c r="O37" s="145"/>
      <c r="P37" s="399"/>
      <c r="Q37" s="400"/>
      <c r="R37" s="401"/>
      <c r="S37" s="272"/>
      <c r="T37" s="401"/>
      <c r="U37" s="400"/>
      <c r="V37" s="169"/>
      <c r="W37" s="272"/>
      <c r="X37" s="169"/>
      <c r="Y37" s="400"/>
      <c r="Z37" s="169"/>
      <c r="AA37" s="272"/>
      <c r="AB37" s="169"/>
      <c r="AC37" s="401"/>
      <c r="AD37" s="169"/>
      <c r="AE37" s="272"/>
      <c r="AF37" s="169"/>
      <c r="AG37" s="169"/>
      <c r="AH37" s="401"/>
      <c r="AI37" s="460"/>
      <c r="AK37" s="1" t="s">
        <v>37</v>
      </c>
    </row>
    <row r="38" spans="1:51" ht="16.5" customHeight="1" x14ac:dyDescent="0.25">
      <c r="A38" s="86" t="s">
        <v>51</v>
      </c>
      <c r="B38" s="169" t="s">
        <v>97</v>
      </c>
      <c r="C38" s="173">
        <v>2929147</v>
      </c>
      <c r="D38" s="404"/>
      <c r="E38" s="400"/>
      <c r="F38" s="405"/>
      <c r="G38" s="449"/>
      <c r="H38" s="405"/>
      <c r="I38" s="405"/>
      <c r="J38" s="405"/>
      <c r="K38" s="449"/>
      <c r="L38" s="405"/>
      <c r="M38" s="405"/>
      <c r="N38" s="405"/>
      <c r="O38" s="449"/>
      <c r="P38" s="405"/>
      <c r="Q38" s="400"/>
      <c r="R38" s="78"/>
      <c r="S38" s="142"/>
      <c r="T38" s="406"/>
      <c r="U38" s="406"/>
      <c r="V38" s="406"/>
      <c r="W38" s="142"/>
      <c r="X38" s="406"/>
      <c r="Y38" s="406"/>
      <c r="Z38" s="406"/>
      <c r="AA38" s="142"/>
      <c r="AB38" s="406"/>
      <c r="AC38" s="406"/>
      <c r="AD38" s="406"/>
      <c r="AE38" s="142"/>
      <c r="AF38" s="406"/>
      <c r="AG38" s="406"/>
      <c r="AH38" s="406"/>
      <c r="AI38" s="461"/>
    </row>
    <row r="39" spans="1:51" ht="16.5" customHeight="1" x14ac:dyDescent="0.25">
      <c r="A39" s="90" t="s">
        <v>85</v>
      </c>
      <c r="B39" s="169" t="s">
        <v>98</v>
      </c>
      <c r="C39" s="65">
        <v>3036430</v>
      </c>
      <c r="D39" s="407"/>
      <c r="E39" s="400"/>
      <c r="F39" s="408"/>
      <c r="G39" s="141"/>
      <c r="H39" s="408"/>
      <c r="I39" s="409"/>
      <c r="J39" s="408"/>
      <c r="K39" s="141"/>
      <c r="L39" s="408"/>
      <c r="M39" s="409"/>
      <c r="N39" s="408"/>
      <c r="O39" s="141"/>
      <c r="P39" s="408"/>
      <c r="Q39" s="400"/>
      <c r="R39" s="410"/>
      <c r="S39" s="141"/>
      <c r="T39" s="410"/>
      <c r="U39" s="409"/>
      <c r="V39" s="406"/>
      <c r="W39" s="149"/>
      <c r="X39" s="406"/>
      <c r="Y39" s="409"/>
      <c r="Z39" s="406"/>
      <c r="AA39" s="149"/>
      <c r="AB39" s="406"/>
      <c r="AC39" s="409"/>
      <c r="AD39" s="406"/>
      <c r="AE39" s="149"/>
      <c r="AF39" s="406"/>
      <c r="AG39" s="406"/>
      <c r="AH39" s="409"/>
      <c r="AI39" s="462"/>
    </row>
    <row r="40" spans="1:51" ht="16.5" customHeight="1" x14ac:dyDescent="0.25">
      <c r="A40" s="90" t="s">
        <v>72</v>
      </c>
      <c r="B40" s="169" t="s">
        <v>97</v>
      </c>
      <c r="C40" s="256">
        <v>3143805</v>
      </c>
      <c r="D40" s="407"/>
      <c r="E40" s="400"/>
      <c r="F40" s="407"/>
      <c r="G40" s="143"/>
      <c r="H40" s="407"/>
      <c r="I40" s="407"/>
      <c r="J40" s="407"/>
      <c r="K40" s="143"/>
      <c r="L40" s="407"/>
      <c r="M40" s="409"/>
      <c r="N40" s="408"/>
      <c r="O40" s="141"/>
      <c r="P40" s="408"/>
      <c r="Q40" s="400"/>
      <c r="R40" s="410"/>
      <c r="S40" s="141"/>
      <c r="T40" s="410"/>
      <c r="U40" s="409"/>
      <c r="V40" s="406"/>
      <c r="W40" s="149"/>
      <c r="X40" s="406"/>
      <c r="Y40" s="409"/>
      <c r="Z40" s="406"/>
      <c r="AA40" s="149"/>
      <c r="AB40" s="406"/>
      <c r="AC40" s="409"/>
      <c r="AD40" s="406"/>
      <c r="AE40" s="149"/>
      <c r="AF40" s="406"/>
      <c r="AG40" s="406"/>
      <c r="AH40" s="409"/>
      <c r="AI40" s="462"/>
    </row>
    <row r="41" spans="1:51" ht="16.5" customHeight="1" x14ac:dyDescent="0.25">
      <c r="A41" s="90" t="s">
        <v>47</v>
      </c>
      <c r="B41" s="169" t="s">
        <v>97</v>
      </c>
      <c r="C41" s="173">
        <v>2845520</v>
      </c>
      <c r="D41" s="404"/>
      <c r="E41" s="400"/>
      <c r="F41" s="407"/>
      <c r="G41" s="143"/>
      <c r="H41" s="415"/>
      <c r="I41" s="400"/>
      <c r="J41" s="400"/>
      <c r="K41" s="143"/>
      <c r="L41" s="407"/>
      <c r="M41" s="407"/>
      <c r="N41" s="407"/>
      <c r="O41" s="143"/>
      <c r="P41" s="407"/>
      <c r="Q41" s="400"/>
      <c r="R41" s="415"/>
      <c r="S41" s="143"/>
      <c r="T41" s="399"/>
      <c r="U41" s="407"/>
      <c r="V41" s="406"/>
      <c r="W41" s="149"/>
      <c r="X41" s="406"/>
      <c r="Y41" s="399"/>
      <c r="Z41" s="406"/>
      <c r="AA41" s="149"/>
      <c r="AB41" s="406"/>
      <c r="AC41" s="407"/>
      <c r="AD41" s="406"/>
      <c r="AE41" s="149"/>
      <c r="AF41" s="406"/>
      <c r="AG41" s="406"/>
      <c r="AH41" s="407"/>
      <c r="AI41" s="463"/>
    </row>
    <row r="42" spans="1:51" ht="17.25" customHeight="1" x14ac:dyDescent="0.25">
      <c r="A42" s="389" t="s">
        <v>49</v>
      </c>
      <c r="B42" s="390" t="s">
        <v>98</v>
      </c>
      <c r="C42" s="391">
        <v>3038475</v>
      </c>
      <c r="D42" s="407"/>
      <c r="E42" s="400"/>
      <c r="F42" s="407"/>
      <c r="G42" s="143"/>
      <c r="H42" s="407"/>
      <c r="I42" s="399"/>
      <c r="J42" s="400"/>
      <c r="K42" s="143"/>
      <c r="L42" s="407"/>
      <c r="M42" s="400"/>
      <c r="N42" s="407"/>
      <c r="O42" s="143"/>
      <c r="P42" s="407"/>
      <c r="Q42" s="407"/>
      <c r="R42" s="78"/>
      <c r="S42" s="149"/>
      <c r="T42" s="78"/>
      <c r="U42" s="78"/>
      <c r="V42" s="78"/>
      <c r="W42" s="149"/>
      <c r="X42" s="78"/>
      <c r="Y42" s="399"/>
      <c r="Z42" s="78"/>
      <c r="AA42" s="149"/>
      <c r="AB42" s="78"/>
      <c r="AC42" s="78"/>
      <c r="AD42" s="78"/>
      <c r="AE42" s="149"/>
      <c r="AF42" s="78"/>
      <c r="AG42" s="78"/>
      <c r="AH42" s="78"/>
      <c r="AI42" s="464"/>
      <c r="AJ42" s="79"/>
      <c r="AK42" s="79"/>
      <c r="AL42" s="79"/>
      <c r="AM42" s="79"/>
      <c r="AN42" s="79"/>
      <c r="AO42" s="132"/>
      <c r="AP42" s="78"/>
      <c r="AQ42" s="78"/>
      <c r="AR42" s="76"/>
      <c r="AS42" s="78"/>
      <c r="AT42" s="78"/>
      <c r="AU42" s="78"/>
      <c r="AV42" s="76"/>
      <c r="AW42" s="78"/>
      <c r="AX42" s="78"/>
      <c r="AY42" s="78"/>
    </row>
    <row r="43" spans="1:51" ht="17.25" customHeight="1" x14ac:dyDescent="0.25">
      <c r="A43" s="386" t="s">
        <v>107</v>
      </c>
      <c r="B43" s="169" t="s">
        <v>97</v>
      </c>
      <c r="C43" s="171">
        <v>3370143</v>
      </c>
      <c r="D43" s="407"/>
      <c r="E43" s="100"/>
      <c r="F43" s="407"/>
      <c r="G43" s="143"/>
      <c r="H43" s="404"/>
      <c r="I43" s="400"/>
      <c r="J43" s="400"/>
      <c r="K43" s="143"/>
      <c r="L43" s="407"/>
      <c r="M43" s="400"/>
      <c r="N43" s="407"/>
      <c r="O43" s="143"/>
      <c r="P43" s="100"/>
      <c r="Q43" s="100"/>
      <c r="R43" s="415"/>
      <c r="S43" s="143"/>
      <c r="T43" s="100"/>
      <c r="U43" s="400"/>
      <c r="V43" s="415"/>
      <c r="W43" s="143"/>
      <c r="X43" s="407"/>
      <c r="Y43" s="399"/>
      <c r="Z43" s="407"/>
      <c r="AA43" s="143"/>
      <c r="AB43" s="407"/>
      <c r="AC43" s="100"/>
      <c r="AD43" s="407"/>
      <c r="AE43" s="143"/>
      <c r="AF43" s="407"/>
      <c r="AG43" s="437"/>
      <c r="AH43" s="100"/>
      <c r="AI43" s="465"/>
      <c r="AJ43" s="79"/>
      <c r="AK43" s="79"/>
      <c r="AL43" s="79"/>
      <c r="AM43" s="79"/>
      <c r="AN43" s="79"/>
      <c r="AO43" s="79"/>
      <c r="AP43" s="79"/>
      <c r="AQ43" s="79"/>
      <c r="AR43" s="167"/>
      <c r="AS43" s="79"/>
      <c r="AT43" s="79"/>
      <c r="AU43" s="79"/>
      <c r="AV43" s="167"/>
      <c r="AW43" s="79"/>
      <c r="AX43" s="79"/>
      <c r="AY43" s="79"/>
    </row>
    <row r="44" spans="1:51" ht="17.25" customHeight="1" thickBot="1" x14ac:dyDescent="0.3">
      <c r="A44" s="175" t="s">
        <v>62</v>
      </c>
      <c r="B44" s="170" t="s">
        <v>97</v>
      </c>
      <c r="C44" s="236">
        <v>3369781</v>
      </c>
      <c r="D44" s="423"/>
      <c r="E44" s="430"/>
      <c r="F44" s="423"/>
      <c r="G44" s="176"/>
      <c r="H44" s="431"/>
      <c r="I44" s="126"/>
      <c r="J44" s="126"/>
      <c r="K44" s="176"/>
      <c r="L44" s="423"/>
      <c r="M44" s="126"/>
      <c r="N44" s="423"/>
      <c r="O44" s="176"/>
      <c r="P44" s="430"/>
      <c r="Q44" s="430"/>
      <c r="R44" s="432"/>
      <c r="S44" s="176"/>
      <c r="T44" s="430"/>
      <c r="U44" s="126"/>
      <c r="V44" s="432"/>
      <c r="W44" s="176"/>
      <c r="X44" s="423"/>
      <c r="Y44" s="424"/>
      <c r="Z44" s="423"/>
      <c r="AA44" s="176"/>
      <c r="AB44" s="423"/>
      <c r="AC44" s="430"/>
      <c r="AD44" s="423"/>
      <c r="AE44" s="176"/>
      <c r="AF44" s="423"/>
      <c r="AG44" s="440"/>
      <c r="AH44" s="430"/>
      <c r="AI44" s="466"/>
    </row>
    <row r="45" spans="1:51" ht="17.25" customHeight="1" thickBot="1" x14ac:dyDescent="0.3">
      <c r="A45" s="177"/>
      <c r="B45" s="99"/>
      <c r="C45" s="174"/>
      <c r="D45" s="1148"/>
      <c r="E45" s="1149"/>
      <c r="F45" s="1149"/>
      <c r="G45" s="1149"/>
      <c r="H45" s="1149"/>
      <c r="I45" s="1149"/>
      <c r="J45" s="1149"/>
      <c r="K45" s="1149"/>
      <c r="L45" s="1149"/>
      <c r="M45" s="1149"/>
      <c r="N45" s="1149"/>
      <c r="O45" s="1149"/>
      <c r="P45" s="1149"/>
      <c r="Q45" s="1149"/>
      <c r="R45" s="1149"/>
      <c r="S45" s="1149"/>
      <c r="T45" s="1149"/>
      <c r="U45" s="1149"/>
      <c r="V45" s="1149"/>
      <c r="W45" s="1149"/>
      <c r="X45" s="1149"/>
      <c r="Y45" s="1149"/>
      <c r="Z45" s="1149"/>
      <c r="AA45" s="1149"/>
      <c r="AB45" s="1149"/>
      <c r="AC45" s="1149"/>
      <c r="AD45" s="1149"/>
      <c r="AE45" s="1149"/>
      <c r="AF45" s="1149"/>
      <c r="AG45" s="1149"/>
      <c r="AH45" s="1149"/>
    </row>
    <row r="46" spans="1:51" ht="17.25" customHeight="1" x14ac:dyDescent="0.2">
      <c r="A46" s="1103" t="s">
        <v>6</v>
      </c>
      <c r="B46" s="1105" t="s">
        <v>34</v>
      </c>
      <c r="C46" s="1145" t="s">
        <v>17</v>
      </c>
      <c r="D46" s="442" t="s">
        <v>1</v>
      </c>
      <c r="E46" s="125" t="s">
        <v>2</v>
      </c>
      <c r="F46" s="393" t="s">
        <v>3</v>
      </c>
      <c r="G46" s="125" t="s">
        <v>4</v>
      </c>
      <c r="H46" s="125" t="s">
        <v>4</v>
      </c>
      <c r="I46" s="125" t="s">
        <v>2</v>
      </c>
      <c r="J46" s="84" t="s">
        <v>2</v>
      </c>
      <c r="K46" s="84" t="s">
        <v>1</v>
      </c>
      <c r="L46" s="125" t="s">
        <v>2</v>
      </c>
      <c r="M46" s="393" t="s">
        <v>3</v>
      </c>
      <c r="N46" s="125" t="s">
        <v>4</v>
      </c>
      <c r="O46" s="125" t="s">
        <v>4</v>
      </c>
      <c r="P46" s="125" t="s">
        <v>2</v>
      </c>
      <c r="Q46" s="84" t="s">
        <v>2</v>
      </c>
      <c r="R46" s="84" t="s">
        <v>1</v>
      </c>
      <c r="S46" s="125" t="s">
        <v>2</v>
      </c>
      <c r="T46" s="393" t="s">
        <v>3</v>
      </c>
      <c r="U46" s="125" t="s">
        <v>4</v>
      </c>
      <c r="V46" s="125" t="s">
        <v>4</v>
      </c>
      <c r="W46" s="125" t="s">
        <v>2</v>
      </c>
      <c r="X46" s="84" t="s">
        <v>2</v>
      </c>
      <c r="Y46" s="84" t="s">
        <v>1</v>
      </c>
      <c r="Z46" s="125" t="s">
        <v>2</v>
      </c>
      <c r="AA46" s="393" t="s">
        <v>3</v>
      </c>
      <c r="AB46" s="125" t="s">
        <v>4</v>
      </c>
      <c r="AC46" s="125" t="s">
        <v>4</v>
      </c>
      <c r="AD46" s="125" t="s">
        <v>2</v>
      </c>
      <c r="AE46" s="84" t="s">
        <v>2</v>
      </c>
      <c r="AF46" s="192" t="s">
        <v>1</v>
      </c>
      <c r="AG46" s="394"/>
      <c r="AH46" s="393" t="s">
        <v>2</v>
      </c>
      <c r="AI46" s="458" t="s">
        <v>3</v>
      </c>
    </row>
    <row r="47" spans="1:51" ht="17.25" customHeight="1" thickBot="1" x14ac:dyDescent="0.25">
      <c r="A47" s="1134"/>
      <c r="B47" s="1135"/>
      <c r="C47" s="1146"/>
      <c r="D47" s="443">
        <v>1</v>
      </c>
      <c r="E47" s="126">
        <f>D47+1</f>
        <v>2</v>
      </c>
      <c r="F47" s="126">
        <f>E47+1</f>
        <v>3</v>
      </c>
      <c r="G47" s="126">
        <f t="shared" ref="G47:AI47" si="3">F47+1</f>
        <v>4</v>
      </c>
      <c r="H47" s="126">
        <f t="shared" si="3"/>
        <v>5</v>
      </c>
      <c r="I47" s="126">
        <f t="shared" si="3"/>
        <v>6</v>
      </c>
      <c r="J47" s="444">
        <f t="shared" si="3"/>
        <v>7</v>
      </c>
      <c r="K47" s="444">
        <f t="shared" si="3"/>
        <v>8</v>
      </c>
      <c r="L47" s="126">
        <f t="shared" si="3"/>
        <v>9</v>
      </c>
      <c r="M47" s="126">
        <f t="shared" si="3"/>
        <v>10</v>
      </c>
      <c r="N47" s="126">
        <f t="shared" si="3"/>
        <v>11</v>
      </c>
      <c r="O47" s="126">
        <f t="shared" si="3"/>
        <v>12</v>
      </c>
      <c r="P47" s="126">
        <f t="shared" si="3"/>
        <v>13</v>
      </c>
      <c r="Q47" s="444">
        <f t="shared" si="3"/>
        <v>14</v>
      </c>
      <c r="R47" s="444">
        <f t="shared" si="3"/>
        <v>15</v>
      </c>
      <c r="S47" s="126">
        <f t="shared" si="3"/>
        <v>16</v>
      </c>
      <c r="T47" s="126">
        <f t="shared" si="3"/>
        <v>17</v>
      </c>
      <c r="U47" s="126">
        <f t="shared" si="3"/>
        <v>18</v>
      </c>
      <c r="V47" s="126">
        <f t="shared" si="3"/>
        <v>19</v>
      </c>
      <c r="W47" s="126">
        <f t="shared" si="3"/>
        <v>20</v>
      </c>
      <c r="X47" s="444">
        <f t="shared" si="3"/>
        <v>21</v>
      </c>
      <c r="Y47" s="444">
        <f t="shared" si="3"/>
        <v>22</v>
      </c>
      <c r="Z47" s="126">
        <f t="shared" si="3"/>
        <v>23</v>
      </c>
      <c r="AA47" s="126">
        <f t="shared" si="3"/>
        <v>24</v>
      </c>
      <c r="AB47" s="126">
        <f t="shared" si="3"/>
        <v>25</v>
      </c>
      <c r="AC47" s="126">
        <f t="shared" si="3"/>
        <v>26</v>
      </c>
      <c r="AD47" s="126">
        <f t="shared" si="3"/>
        <v>27</v>
      </c>
      <c r="AE47" s="444">
        <f t="shared" si="3"/>
        <v>28</v>
      </c>
      <c r="AF47" s="444">
        <f t="shared" si="3"/>
        <v>29</v>
      </c>
      <c r="AG47" s="126">
        <f t="shared" si="3"/>
        <v>30</v>
      </c>
      <c r="AH47" s="126">
        <v>30</v>
      </c>
      <c r="AI47" s="459">
        <f t="shared" si="3"/>
        <v>31</v>
      </c>
    </row>
    <row r="48" spans="1:51" ht="17.25" customHeight="1" x14ac:dyDescent="0.25">
      <c r="A48" s="91" t="s">
        <v>113</v>
      </c>
      <c r="B48" s="392" t="s">
        <v>32</v>
      </c>
      <c r="C48" s="171">
        <v>899747</v>
      </c>
      <c r="D48" s="470"/>
      <c r="E48" s="467"/>
      <c r="F48" s="420"/>
      <c r="G48" s="467"/>
      <c r="H48" s="140"/>
      <c r="I48" s="403"/>
      <c r="J48" s="420"/>
      <c r="K48" s="467"/>
      <c r="L48" s="140"/>
      <c r="M48" s="420"/>
      <c r="N48" s="467"/>
      <c r="O48" s="467"/>
      <c r="P48" s="140"/>
      <c r="Q48" s="467"/>
      <c r="R48" s="467"/>
      <c r="S48" s="467"/>
      <c r="T48" s="140"/>
      <c r="U48" s="420"/>
      <c r="V48" s="99"/>
      <c r="W48" s="467"/>
      <c r="X48" s="468"/>
      <c r="Y48" s="467"/>
      <c r="Z48" s="99"/>
      <c r="AA48" s="467"/>
      <c r="AB48" s="468"/>
      <c r="AC48" s="467"/>
      <c r="AD48" s="99"/>
      <c r="AE48" s="467"/>
      <c r="AF48" s="468"/>
      <c r="AG48" s="99"/>
      <c r="AH48" s="467"/>
      <c r="AI48" s="469"/>
    </row>
    <row r="49" spans="1:36" ht="17.25" customHeight="1" x14ac:dyDescent="0.25">
      <c r="A49" s="86" t="s">
        <v>114</v>
      </c>
      <c r="B49" s="392" t="s">
        <v>32</v>
      </c>
      <c r="C49" s="171">
        <v>903659</v>
      </c>
      <c r="D49" s="471"/>
      <c r="E49" s="400"/>
      <c r="F49" s="401"/>
      <c r="G49" s="401"/>
      <c r="H49" s="272"/>
      <c r="I49" s="401"/>
      <c r="J49" s="401"/>
      <c r="K49" s="401"/>
      <c r="L49" s="272"/>
      <c r="M49" s="401"/>
      <c r="N49" s="399"/>
      <c r="O49" s="401"/>
      <c r="P49" s="272"/>
      <c r="Q49" s="400"/>
      <c r="R49" s="399"/>
      <c r="S49" s="401"/>
      <c r="T49" s="272"/>
      <c r="U49" s="401"/>
      <c r="V49" s="399"/>
      <c r="W49" s="401"/>
      <c r="X49" s="273"/>
      <c r="Y49" s="401"/>
      <c r="Z49" s="169"/>
      <c r="AA49" s="401"/>
      <c r="AB49" s="273"/>
      <c r="AC49" s="401"/>
      <c r="AD49" s="169"/>
      <c r="AE49" s="401"/>
      <c r="AF49" s="273"/>
      <c r="AG49" s="169"/>
      <c r="AH49" s="401"/>
      <c r="AI49" s="460"/>
    </row>
    <row r="50" spans="1:36" ht="17.25" customHeight="1" x14ac:dyDescent="0.2">
      <c r="A50" s="86" t="s">
        <v>60</v>
      </c>
      <c r="B50" s="169" t="s">
        <v>97</v>
      </c>
      <c r="C50" s="173">
        <v>2984920</v>
      </c>
      <c r="D50" s="471"/>
      <c r="E50" s="399"/>
      <c r="F50" s="400"/>
      <c r="G50" s="399"/>
      <c r="H50" s="145"/>
      <c r="I50" s="399"/>
      <c r="J50" s="400"/>
      <c r="K50" s="399"/>
      <c r="L50" s="145"/>
      <c r="M50" s="399"/>
      <c r="N50" s="399"/>
      <c r="O50" s="399"/>
      <c r="P50" s="145"/>
      <c r="Q50" s="401"/>
      <c r="R50" s="399"/>
      <c r="S50" s="401"/>
      <c r="T50" s="272"/>
      <c r="U50" s="400"/>
      <c r="V50" s="169"/>
      <c r="W50" s="401"/>
      <c r="X50" s="273"/>
      <c r="Y50" s="400"/>
      <c r="Z50" s="169"/>
      <c r="AA50" s="401"/>
      <c r="AB50" s="273"/>
      <c r="AC50" s="401"/>
      <c r="AD50" s="169"/>
      <c r="AE50" s="401"/>
      <c r="AF50" s="273"/>
      <c r="AG50" s="169"/>
      <c r="AH50" s="401"/>
      <c r="AI50" s="460"/>
      <c r="AJ50" s="4"/>
    </row>
    <row r="51" spans="1:36" ht="17.25" customHeight="1" x14ac:dyDescent="0.25">
      <c r="A51" s="86" t="s">
        <v>67</v>
      </c>
      <c r="B51" s="169" t="s">
        <v>98</v>
      </c>
      <c r="C51" s="173">
        <v>2726041</v>
      </c>
      <c r="D51" s="472"/>
      <c r="E51" s="400"/>
      <c r="F51" s="400"/>
      <c r="G51" s="405"/>
      <c r="H51" s="449"/>
      <c r="I51" s="405"/>
      <c r="J51" s="400"/>
      <c r="K51" s="405"/>
      <c r="L51" s="449"/>
      <c r="M51" s="405"/>
      <c r="N51" s="405"/>
      <c r="O51" s="405"/>
      <c r="P51" s="449"/>
      <c r="Q51" s="400"/>
      <c r="R51" s="405"/>
      <c r="S51" s="406"/>
      <c r="T51" s="142"/>
      <c r="U51" s="406"/>
      <c r="V51" s="406"/>
      <c r="W51" s="406"/>
      <c r="X51" s="142"/>
      <c r="Y51" s="406"/>
      <c r="Z51" s="406"/>
      <c r="AA51" s="406"/>
      <c r="AB51" s="142"/>
      <c r="AC51" s="406"/>
      <c r="AD51" s="406"/>
      <c r="AE51" s="406"/>
      <c r="AF51" s="142"/>
      <c r="AG51" s="406"/>
      <c r="AH51" s="406"/>
      <c r="AI51" s="461"/>
      <c r="AJ51" s="4"/>
    </row>
    <row r="52" spans="1:36" ht="17.25" customHeight="1" x14ac:dyDescent="0.25">
      <c r="A52" s="88" t="s">
        <v>66</v>
      </c>
      <c r="B52" s="169" t="s">
        <v>98</v>
      </c>
      <c r="C52" s="171">
        <v>2807700</v>
      </c>
      <c r="D52" s="473"/>
      <c r="E52" s="400"/>
      <c r="F52" s="408"/>
      <c r="G52" s="408"/>
      <c r="H52" s="141"/>
      <c r="I52" s="409"/>
      <c r="J52" s="399"/>
      <c r="K52" s="408"/>
      <c r="L52" s="141"/>
      <c r="M52" s="409"/>
      <c r="N52" s="408"/>
      <c r="O52" s="408"/>
      <c r="P52" s="141"/>
      <c r="Q52" s="400"/>
      <c r="R52" s="408"/>
      <c r="S52" s="408"/>
      <c r="T52" s="280"/>
      <c r="U52" s="409"/>
      <c r="V52" s="399"/>
      <c r="W52" s="78"/>
      <c r="X52" s="142"/>
      <c r="Y52" s="409"/>
      <c r="Z52" s="406"/>
      <c r="AA52" s="78"/>
      <c r="AB52" s="142"/>
      <c r="AC52" s="409"/>
      <c r="AD52" s="406"/>
      <c r="AE52" s="78"/>
      <c r="AF52" s="142"/>
      <c r="AG52" s="406"/>
      <c r="AH52" s="409"/>
      <c r="AI52" s="462"/>
      <c r="AJ52" s="4"/>
    </row>
    <row r="53" spans="1:36" ht="17.25" customHeight="1" x14ac:dyDescent="0.25">
      <c r="A53" s="88" t="s">
        <v>53</v>
      </c>
      <c r="B53" s="169" t="s">
        <v>98</v>
      </c>
      <c r="C53" s="173">
        <v>3037029</v>
      </c>
      <c r="D53" s="473"/>
      <c r="E53" s="400"/>
      <c r="F53" s="400"/>
      <c r="G53" s="407"/>
      <c r="H53" s="143"/>
      <c r="I53" s="407"/>
      <c r="J53" s="400"/>
      <c r="K53" s="407"/>
      <c r="L53" s="143"/>
      <c r="M53" s="409"/>
      <c r="N53" s="408"/>
      <c r="O53" s="408"/>
      <c r="P53" s="141"/>
      <c r="Q53" s="400"/>
      <c r="R53" s="408"/>
      <c r="S53" s="408"/>
      <c r="T53" s="280"/>
      <c r="U53" s="409"/>
      <c r="V53" s="406"/>
      <c r="W53" s="78"/>
      <c r="X53" s="142"/>
      <c r="Y53" s="409"/>
      <c r="Z53" s="406"/>
      <c r="AA53" s="78"/>
      <c r="AB53" s="142"/>
      <c r="AC53" s="409"/>
      <c r="AD53" s="406"/>
      <c r="AE53" s="78"/>
      <c r="AF53" s="142"/>
      <c r="AG53" s="406"/>
      <c r="AH53" s="409"/>
      <c r="AI53" s="462"/>
      <c r="AJ53" s="4"/>
    </row>
    <row r="54" spans="1:36" ht="17.25" customHeight="1" x14ac:dyDescent="0.25">
      <c r="A54" s="88" t="s">
        <v>86</v>
      </c>
      <c r="B54" s="169" t="s">
        <v>98</v>
      </c>
      <c r="C54" s="171">
        <v>3038386</v>
      </c>
      <c r="D54" s="472"/>
      <c r="E54" s="400"/>
      <c r="F54" s="407"/>
      <c r="G54" s="407"/>
      <c r="H54" s="283"/>
      <c r="I54" s="407"/>
      <c r="J54" s="400"/>
      <c r="K54" s="407"/>
      <c r="L54" s="143"/>
      <c r="M54" s="407"/>
      <c r="N54" s="399"/>
      <c r="O54" s="407"/>
      <c r="P54" s="143"/>
      <c r="Q54" s="400"/>
      <c r="R54" s="399"/>
      <c r="S54" s="407"/>
      <c r="T54" s="145"/>
      <c r="U54" s="407"/>
      <c r="V54" s="399"/>
      <c r="W54" s="78"/>
      <c r="X54" s="142"/>
      <c r="Y54" s="407"/>
      <c r="Z54" s="406"/>
      <c r="AA54" s="78"/>
      <c r="AB54" s="142"/>
      <c r="AC54" s="407"/>
      <c r="AD54" s="406"/>
      <c r="AE54" s="78"/>
      <c r="AF54" s="142"/>
      <c r="AG54" s="406"/>
      <c r="AH54" s="407"/>
      <c r="AI54" s="463"/>
      <c r="AJ54" s="4"/>
    </row>
    <row r="55" spans="1:36" ht="17.25" customHeight="1" x14ac:dyDescent="0.2">
      <c r="A55" s="88" t="s">
        <v>71</v>
      </c>
      <c r="B55" s="169" t="s">
        <v>97</v>
      </c>
      <c r="C55" s="260">
        <v>3135764</v>
      </c>
      <c r="D55" s="473"/>
      <c r="E55" s="400"/>
      <c r="F55" s="400"/>
      <c r="G55" s="407"/>
      <c r="H55" s="143"/>
      <c r="I55" s="399"/>
      <c r="J55" s="400"/>
      <c r="K55" s="407"/>
      <c r="L55" s="143"/>
      <c r="M55" s="400"/>
      <c r="N55" s="399"/>
      <c r="O55" s="407"/>
      <c r="P55" s="143"/>
      <c r="Q55" s="407"/>
      <c r="R55" s="399"/>
      <c r="S55" s="78"/>
      <c r="T55" s="149"/>
      <c r="U55" s="78"/>
      <c r="V55" s="399"/>
      <c r="W55" s="78"/>
      <c r="X55" s="149"/>
      <c r="Y55" s="427"/>
      <c r="Z55" s="406"/>
      <c r="AA55" s="406"/>
      <c r="AB55" s="142"/>
      <c r="AC55" s="406"/>
      <c r="AD55" s="406"/>
      <c r="AE55" s="78"/>
      <c r="AF55" s="149"/>
      <c r="AG55" s="78"/>
      <c r="AH55" s="78"/>
      <c r="AI55" s="464"/>
      <c r="AJ55" s="4"/>
    </row>
    <row r="56" spans="1:36" ht="17.25" customHeight="1" x14ac:dyDescent="0.25">
      <c r="A56" s="88" t="s">
        <v>108</v>
      </c>
      <c r="B56" s="169" t="s">
        <v>97</v>
      </c>
      <c r="C56" s="173">
        <v>2778459</v>
      </c>
      <c r="D56" s="473"/>
      <c r="E56" s="100"/>
      <c r="F56" s="407"/>
      <c r="G56" s="407"/>
      <c r="H56" s="448"/>
      <c r="I56" s="399"/>
      <c r="J56" s="400"/>
      <c r="K56" s="407"/>
      <c r="L56" s="143"/>
      <c r="M56" s="400"/>
      <c r="N56" s="399"/>
      <c r="O56" s="407"/>
      <c r="P56" s="147"/>
      <c r="Q56" s="100"/>
      <c r="R56" s="400"/>
      <c r="S56" s="407"/>
      <c r="T56" s="147"/>
      <c r="U56" s="400"/>
      <c r="V56" s="400"/>
      <c r="W56" s="407"/>
      <c r="X56" s="143"/>
      <c r="Y56" s="438"/>
      <c r="Z56" s="406"/>
      <c r="AA56" s="406"/>
      <c r="AB56" s="142"/>
      <c r="AC56" s="406"/>
      <c r="AD56" s="406"/>
      <c r="AE56" s="407"/>
      <c r="AF56" s="143"/>
      <c r="AG56" s="437"/>
      <c r="AH56" s="100"/>
      <c r="AI56" s="465"/>
      <c r="AJ56" s="4" t="s">
        <v>37</v>
      </c>
    </row>
    <row r="57" spans="1:36" ht="17.25" customHeight="1" thickBot="1" x14ac:dyDescent="0.3">
      <c r="A57" s="93" t="s">
        <v>80</v>
      </c>
      <c r="B57" s="170" t="s">
        <v>97</v>
      </c>
      <c r="C57" s="388">
        <v>3043428</v>
      </c>
      <c r="D57" s="474"/>
      <c r="E57" s="430"/>
      <c r="F57" s="423"/>
      <c r="G57" s="423"/>
      <c r="H57" s="450"/>
      <c r="I57" s="424"/>
      <c r="J57" s="126"/>
      <c r="K57" s="423"/>
      <c r="L57" s="176"/>
      <c r="M57" s="126"/>
      <c r="N57" s="424"/>
      <c r="O57" s="423"/>
      <c r="P57" s="451"/>
      <c r="Q57" s="430"/>
      <c r="R57" s="126"/>
      <c r="S57" s="423"/>
      <c r="T57" s="451"/>
      <c r="U57" s="126"/>
      <c r="V57" s="126"/>
      <c r="W57" s="423"/>
      <c r="X57" s="176"/>
      <c r="Y57" s="430"/>
      <c r="Z57" s="445"/>
      <c r="AA57" s="445"/>
      <c r="AB57" s="457"/>
      <c r="AC57" s="446"/>
      <c r="AD57" s="445"/>
      <c r="AE57" s="445"/>
      <c r="AF57" s="176"/>
      <c r="AG57" s="440"/>
      <c r="AH57" s="430"/>
      <c r="AI57" s="466"/>
      <c r="AJ57" s="4"/>
    </row>
    <row r="58" spans="1:36" ht="17.25" customHeight="1" x14ac:dyDescent="0.25">
      <c r="A58" s="2"/>
      <c r="B58" s="55"/>
      <c r="C58" s="56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54"/>
      <c r="V58" s="58"/>
      <c r="W58" s="54"/>
      <c r="X58" s="54"/>
      <c r="Y58" s="133"/>
      <c r="Z58" s="54"/>
      <c r="AA58" s="54"/>
      <c r="AB58" s="54"/>
      <c r="AC58" s="54"/>
      <c r="AD58" s="54"/>
      <c r="AE58" s="54"/>
      <c r="AF58" s="54"/>
      <c r="AG58" s="134"/>
      <c r="AH58" s="134"/>
    </row>
    <row r="59" spans="1:36" ht="17.25" customHeight="1" x14ac:dyDescent="0.25">
      <c r="A59" s="2"/>
      <c r="B59" s="55"/>
      <c r="C59" s="56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4"/>
      <c r="V59" s="58"/>
      <c r="W59" s="54"/>
      <c r="X59" s="54"/>
      <c r="Y59" s="59"/>
      <c r="Z59" s="54"/>
      <c r="AA59" s="54"/>
      <c r="AB59" s="54"/>
      <c r="AC59" s="54"/>
      <c r="AD59" s="54"/>
      <c r="AE59" s="54"/>
      <c r="AF59" s="54"/>
    </row>
    <row r="60" spans="1:36" ht="17.25" customHeight="1" x14ac:dyDescent="0.2">
      <c r="A60" s="1141" t="s">
        <v>101</v>
      </c>
      <c r="B60" s="1141"/>
      <c r="C60" s="1141"/>
      <c r="D60" s="1141"/>
      <c r="E60" s="1141"/>
      <c r="F60" s="1141"/>
      <c r="G60" s="1141"/>
      <c r="H60" s="1141"/>
      <c r="I60" s="1141"/>
      <c r="J60" s="1141"/>
      <c r="K60" s="1141"/>
      <c r="L60" s="1141"/>
      <c r="M60" s="1141"/>
      <c r="N60" s="1141"/>
      <c r="O60" s="1141"/>
      <c r="P60" s="1141"/>
      <c r="Q60" s="1141"/>
      <c r="R60" s="1141"/>
      <c r="S60" s="1141"/>
      <c r="T60" s="1141"/>
      <c r="U60" s="1141"/>
      <c r="V60" s="1141"/>
      <c r="W60" s="1141"/>
      <c r="X60" s="1141"/>
      <c r="Y60" s="1141"/>
      <c r="Z60" s="1141"/>
      <c r="AA60" s="1141"/>
      <c r="AB60" s="1141"/>
      <c r="AC60" s="1141"/>
      <c r="AD60" s="1141"/>
      <c r="AE60" s="1141"/>
      <c r="AF60" s="1141"/>
      <c r="AG60" s="1141"/>
      <c r="AH60" s="1141"/>
    </row>
    <row r="61" spans="1:36" ht="17.25" customHeight="1" x14ac:dyDescent="0.25">
      <c r="A61" s="1128" t="s">
        <v>102</v>
      </c>
      <c r="B61" s="1128"/>
      <c r="C61" s="1128"/>
      <c r="D61" s="1128"/>
      <c r="E61" s="1128"/>
      <c r="F61" s="1128"/>
      <c r="G61" s="1128"/>
      <c r="H61" s="1128"/>
      <c r="I61" s="1128"/>
      <c r="J61" s="1128"/>
      <c r="K61" s="1128"/>
      <c r="L61" s="1128"/>
      <c r="M61" s="1128"/>
      <c r="N61" s="1128"/>
      <c r="O61" s="1128"/>
      <c r="P61" s="1128"/>
      <c r="Q61" s="1128"/>
      <c r="R61" s="1128"/>
      <c r="S61" s="1128"/>
      <c r="T61" s="1128"/>
      <c r="U61" s="1128"/>
      <c r="V61" s="1128"/>
      <c r="W61" s="1128"/>
      <c r="X61" s="1128"/>
      <c r="Y61" s="1128"/>
      <c r="Z61" s="1128"/>
      <c r="AA61" s="1128"/>
      <c r="AB61" s="1128"/>
      <c r="AC61" s="1128"/>
      <c r="AD61" s="1128"/>
      <c r="AE61" s="1128"/>
      <c r="AF61" s="1128"/>
      <c r="AG61" s="1128"/>
      <c r="AH61" s="1128"/>
    </row>
    <row r="62" spans="1:36" ht="17.25" customHeight="1" x14ac:dyDescent="0.25">
      <c r="A62" s="1128" t="s">
        <v>103</v>
      </c>
      <c r="B62" s="1128"/>
      <c r="C62" s="1128"/>
      <c r="D62" s="1128"/>
      <c r="E62" s="1128"/>
      <c r="F62" s="1128"/>
      <c r="G62" s="1128"/>
      <c r="H62" s="1128"/>
      <c r="I62" s="1128"/>
      <c r="J62" s="1128"/>
      <c r="K62" s="1128"/>
      <c r="L62" s="1128"/>
      <c r="M62" s="1128"/>
      <c r="N62" s="1128"/>
      <c r="O62" s="1128"/>
      <c r="P62" s="1128"/>
      <c r="Q62" s="1128"/>
      <c r="R62" s="1128"/>
      <c r="S62" s="1128"/>
      <c r="T62" s="1128"/>
      <c r="U62" s="1128"/>
      <c r="V62" s="1128"/>
      <c r="W62" s="1128"/>
      <c r="X62" s="1128"/>
      <c r="Y62" s="1128"/>
      <c r="Z62" s="1128"/>
      <c r="AA62" s="1128"/>
      <c r="AB62" s="1128"/>
      <c r="AC62" s="1128"/>
      <c r="AD62" s="1128"/>
      <c r="AE62" s="1128"/>
      <c r="AF62" s="1128"/>
      <c r="AG62" s="1128"/>
      <c r="AH62" s="1128"/>
    </row>
    <row r="63" spans="1:36" ht="17.25" customHeight="1" x14ac:dyDescent="0.2">
      <c r="AH63" s="8"/>
      <c r="AI63" s="8"/>
    </row>
    <row r="64" spans="1:36" ht="17.25" customHeight="1" x14ac:dyDescent="0.2">
      <c r="A64" s="3"/>
      <c r="AD64" s="8"/>
      <c r="AE64" s="8"/>
      <c r="AH64" s="8"/>
      <c r="AI64" s="8"/>
    </row>
    <row r="65" spans="1:35" ht="17.25" customHeight="1" x14ac:dyDescent="0.2">
      <c r="A65" s="3"/>
      <c r="AH65" s="8"/>
      <c r="AI65" s="8"/>
    </row>
    <row r="66" spans="1:35" ht="14.25" customHeight="1" x14ac:dyDescent="0.2">
      <c r="A66" s="66"/>
      <c r="I66" s="6"/>
      <c r="M66" s="6"/>
      <c r="AH66" s="8"/>
      <c r="AI66" s="8"/>
    </row>
    <row r="67" spans="1:35" ht="17.25" customHeight="1" x14ac:dyDescent="0.2">
      <c r="A67" s="66"/>
      <c r="L67" s="6"/>
      <c r="P67" s="6"/>
    </row>
    <row r="68" spans="1:35" ht="17.25" customHeight="1" x14ac:dyDescent="0.2">
      <c r="A68" s="3"/>
      <c r="L68" s="6"/>
      <c r="P68" s="6"/>
      <c r="AH68" s="8"/>
      <c r="AI68" s="8"/>
    </row>
    <row r="69" spans="1:35" ht="17.25" customHeight="1" x14ac:dyDescent="0.2">
      <c r="A69" s="67"/>
      <c r="L69" s="6"/>
      <c r="P69" s="6"/>
      <c r="AH69" s="8"/>
      <c r="AI69" s="8"/>
    </row>
    <row r="70" spans="1:35" ht="17.25" customHeight="1" x14ac:dyDescent="0.2">
      <c r="A70" s="67"/>
      <c r="AH70" s="8"/>
      <c r="AI70" s="8"/>
    </row>
    <row r="71" spans="1:35" ht="18" customHeight="1" x14ac:dyDescent="0.2">
      <c r="A71" s="67"/>
      <c r="AH71" s="8"/>
      <c r="AI71" s="8"/>
    </row>
    <row r="72" spans="1:35" ht="18" customHeight="1" x14ac:dyDescent="0.2">
      <c r="A72" s="3"/>
      <c r="AH72" s="8"/>
      <c r="AI72" s="8"/>
    </row>
    <row r="73" spans="1:35" ht="18" customHeight="1" x14ac:dyDescent="0.2">
      <c r="A73" s="3"/>
      <c r="AH73" s="8"/>
      <c r="AI73" s="8"/>
    </row>
    <row r="74" spans="1:35" ht="17.25" customHeight="1" x14ac:dyDescent="0.2">
      <c r="A74" s="67"/>
      <c r="AH74" s="8"/>
      <c r="AI74" s="8"/>
    </row>
    <row r="75" spans="1:35" ht="17.25" customHeight="1" x14ac:dyDescent="0.2">
      <c r="A75" s="67"/>
      <c r="AH75" s="8"/>
      <c r="AI75" s="8"/>
    </row>
    <row r="76" spans="1:35" ht="15.75" customHeight="1" x14ac:dyDescent="0.2">
      <c r="A76" s="67"/>
      <c r="AH76" s="8"/>
      <c r="AI76" s="8"/>
    </row>
    <row r="77" spans="1:35" ht="15.75" customHeight="1" x14ac:dyDescent="0.2">
      <c r="A77" s="66"/>
    </row>
    <row r="78" spans="1:35" ht="15.75" customHeight="1" x14ac:dyDescent="0.2"/>
    <row r="79" spans="1:35" ht="15.75" customHeight="1" x14ac:dyDescent="0.2"/>
    <row r="83" spans="34:35" x14ac:dyDescent="0.2">
      <c r="AH83" s="8"/>
      <c r="AI83" s="8"/>
    </row>
    <row r="84" spans="34:35" x14ac:dyDescent="0.2">
      <c r="AH84" s="8"/>
      <c r="AI84" s="8"/>
    </row>
    <row r="85" spans="34:35" ht="16.5" customHeight="1" x14ac:dyDescent="0.2"/>
    <row r="86" spans="34:35" ht="15.75" customHeight="1" x14ac:dyDescent="0.2"/>
    <row r="87" spans="34:35" ht="15.75" customHeight="1" x14ac:dyDescent="0.2"/>
    <row r="88" spans="34:35" ht="15.75" customHeight="1" x14ac:dyDescent="0.2"/>
    <row r="89" spans="34:35" ht="17.25" customHeight="1" x14ac:dyDescent="0.2"/>
  </sheetData>
  <dataConsolidate/>
  <mergeCells count="22">
    <mergeCell ref="A1:AH1"/>
    <mergeCell ref="A62:AH62"/>
    <mergeCell ref="C46:C47"/>
    <mergeCell ref="A3:AH3"/>
    <mergeCell ref="A46:A47"/>
    <mergeCell ref="D45:AH45"/>
    <mergeCell ref="B46:B47"/>
    <mergeCell ref="C6:C7"/>
    <mergeCell ref="A6:A7"/>
    <mergeCell ref="A61:AH61"/>
    <mergeCell ref="C5:AI5"/>
    <mergeCell ref="A2:AH2"/>
    <mergeCell ref="C20:C21"/>
    <mergeCell ref="B20:B21"/>
    <mergeCell ref="B33:B34"/>
    <mergeCell ref="C33:C34"/>
    <mergeCell ref="A60:AH60"/>
    <mergeCell ref="D15:R15"/>
    <mergeCell ref="D31:S31"/>
    <mergeCell ref="B6:B7"/>
    <mergeCell ref="A20:A21"/>
    <mergeCell ref="A33:A34"/>
  </mergeCells>
  <dataValidations count="2">
    <dataValidation type="list" allowBlank="1" showInputMessage="1" showErrorMessage="1" sqref="AD64" xr:uid="{00000000-0002-0000-0300-000000000000}">
      <formula1>$X$33:$X$149</formula1>
    </dataValidation>
    <dataValidation type="list" allowBlank="1" showInputMessage="1" showErrorMessage="1" sqref="AH63:AI66 AH32" xr:uid="{00000000-0002-0000-0300-000001000000}">
      <formula1>$X$33:$X$150</formula1>
    </dataValidation>
  </dataValidations>
  <printOptions horizontalCentered="1"/>
  <pageMargins left="0.59055118110236227" right="0.59055118110236227" top="0" bottom="0" header="0" footer="0"/>
  <pageSetup paperSize="9" scale="55" orientation="landscape" r:id="rId1"/>
  <headerFooter alignWithMargins="0"/>
  <rowBreaks count="2" manualBreakCount="2">
    <brk id="4" max="16383" man="1"/>
    <brk id="18" max="16383" man="1"/>
  </rowBreaks>
  <colBreaks count="1" manualBreakCount="1">
    <brk id="8" max="1048575" man="1"/>
  </colBreaks>
  <ignoredErrors>
    <ignoredError sqref="E7:AG7 E21:AG21 E34:AG34 E47:AG47 AI47 AI34 AI21 AI7" unlocked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pageSetUpPr fitToPage="1"/>
  </sheetPr>
  <dimension ref="A1:AE25"/>
  <sheetViews>
    <sheetView zoomScaleNormal="100" workbookViewId="0">
      <pane xSplit="1" topLeftCell="B1" activePane="topRight" state="frozen"/>
      <selection pane="topRight" activeCell="AL15" sqref="AL15"/>
    </sheetView>
  </sheetViews>
  <sheetFormatPr defaultRowHeight="12.75" x14ac:dyDescent="0.2"/>
  <cols>
    <col min="1" max="1" width="20.140625" style="1" customWidth="1"/>
    <col min="2" max="31" width="3.7109375" style="1" customWidth="1"/>
    <col min="32" max="34" width="9.140625" style="1"/>
    <col min="35" max="35" width="16.28515625" style="1" customWidth="1"/>
    <col min="36" max="36" width="9.140625" style="1"/>
    <col min="37" max="37" width="9.140625" style="1" customWidth="1"/>
    <col min="38" max="16384" width="9.140625" style="1"/>
  </cols>
  <sheetData>
    <row r="1" spans="1:31" x14ac:dyDescent="0.2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4" spans="1:31" ht="13.5" thickBot="1" x14ac:dyDescent="0.25"/>
    <row r="5" spans="1:31" ht="54.75" thickBot="1" x14ac:dyDescent="0.25">
      <c r="A5" s="10" t="s">
        <v>20</v>
      </c>
      <c r="B5" s="1152" t="s">
        <v>19</v>
      </c>
      <c r="C5" s="1153"/>
      <c r="D5" s="1153"/>
      <c r="E5" s="1153"/>
      <c r="F5" s="1153"/>
      <c r="G5" s="1153"/>
      <c r="H5" s="1153"/>
      <c r="I5" s="1153"/>
      <c r="J5" s="1153"/>
      <c r="K5" s="1153"/>
      <c r="L5" s="1153"/>
      <c r="M5" s="1153"/>
      <c r="N5" s="1153"/>
      <c r="O5" s="1153"/>
      <c r="P5" s="1153"/>
      <c r="Q5" s="1153"/>
      <c r="R5" s="1153"/>
      <c r="S5" s="1153"/>
      <c r="T5" s="1153"/>
      <c r="U5" s="1153"/>
      <c r="V5" s="1153"/>
      <c r="W5" s="1153"/>
      <c r="X5" s="1153"/>
      <c r="Y5" s="1153"/>
      <c r="Z5" s="1153"/>
      <c r="AA5" s="1153"/>
      <c r="AB5" s="1153"/>
      <c r="AC5" s="1153"/>
      <c r="AD5" s="1153"/>
      <c r="AE5" s="1153"/>
    </row>
    <row r="6" spans="1:31" ht="18.75" customHeight="1" x14ac:dyDescent="0.2">
      <c r="A6" s="1154" t="s">
        <v>21</v>
      </c>
      <c r="B6" s="17" t="s">
        <v>4</v>
      </c>
      <c r="C6" s="13" t="s">
        <v>4</v>
      </c>
      <c r="D6" s="13" t="s">
        <v>2</v>
      </c>
      <c r="E6" s="12" t="s">
        <v>2</v>
      </c>
      <c r="F6" s="12" t="s">
        <v>1</v>
      </c>
      <c r="G6" s="13" t="s">
        <v>2</v>
      </c>
      <c r="H6" s="13" t="s">
        <v>3</v>
      </c>
      <c r="I6" s="13" t="s">
        <v>4</v>
      </c>
      <c r="J6" s="13" t="s">
        <v>4</v>
      </c>
      <c r="K6" s="14" t="s">
        <v>2</v>
      </c>
      <c r="L6" s="20" t="s">
        <v>2</v>
      </c>
      <c r="M6" s="20" t="s">
        <v>1</v>
      </c>
      <c r="N6" s="11" t="s">
        <v>2</v>
      </c>
      <c r="O6" s="11" t="s">
        <v>3</v>
      </c>
      <c r="P6" s="11" t="s">
        <v>4</v>
      </c>
      <c r="Q6" s="11" t="s">
        <v>4</v>
      </c>
      <c r="R6" s="11" t="s">
        <v>2</v>
      </c>
      <c r="S6" s="20" t="s">
        <v>2</v>
      </c>
      <c r="T6" s="20" t="s">
        <v>1</v>
      </c>
      <c r="U6" s="11" t="s">
        <v>2</v>
      </c>
      <c r="V6" s="11" t="s">
        <v>3</v>
      </c>
      <c r="W6" s="11" t="s">
        <v>4</v>
      </c>
      <c r="X6" s="11" t="s">
        <v>4</v>
      </c>
      <c r="Y6" s="11" t="s">
        <v>2</v>
      </c>
      <c r="Z6" s="20" t="s">
        <v>2</v>
      </c>
      <c r="AA6" s="20" t="s">
        <v>1</v>
      </c>
      <c r="AB6" s="11" t="s">
        <v>2</v>
      </c>
      <c r="AC6" s="18" t="s">
        <v>3</v>
      </c>
      <c r="AD6" s="9" t="s">
        <v>4</v>
      </c>
      <c r="AE6" s="11" t="s">
        <v>4</v>
      </c>
    </row>
    <row r="7" spans="1:31" ht="27" customHeight="1" thickBot="1" x14ac:dyDescent="0.25">
      <c r="A7" s="1155"/>
      <c r="B7" s="19">
        <v>1</v>
      </c>
      <c r="C7" s="5">
        <v>2</v>
      </c>
      <c r="D7" s="5">
        <v>3</v>
      </c>
      <c r="E7" s="7">
        <v>4</v>
      </c>
      <c r="F7" s="7">
        <v>5</v>
      </c>
      <c r="G7" s="5">
        <v>6</v>
      </c>
      <c r="H7" s="5">
        <v>7</v>
      </c>
      <c r="I7" s="5">
        <v>8</v>
      </c>
      <c r="J7" s="5">
        <v>9</v>
      </c>
      <c r="K7" s="5">
        <v>10</v>
      </c>
      <c r="L7" s="7">
        <v>11</v>
      </c>
      <c r="M7" s="7">
        <v>12</v>
      </c>
      <c r="N7" s="5">
        <v>13</v>
      </c>
      <c r="O7" s="5">
        <v>14</v>
      </c>
      <c r="P7" s="5">
        <v>15</v>
      </c>
      <c r="Q7" s="5">
        <v>16</v>
      </c>
      <c r="R7" s="5">
        <v>17</v>
      </c>
      <c r="S7" s="7">
        <v>18</v>
      </c>
      <c r="T7" s="7">
        <v>19</v>
      </c>
      <c r="U7" s="5">
        <v>20</v>
      </c>
      <c r="V7" s="5">
        <v>21</v>
      </c>
      <c r="W7" s="5">
        <v>22</v>
      </c>
      <c r="X7" s="5">
        <v>23</v>
      </c>
      <c r="Y7" s="5">
        <v>24</v>
      </c>
      <c r="Z7" s="7">
        <v>25</v>
      </c>
      <c r="AA7" s="7">
        <v>26</v>
      </c>
      <c r="AB7" s="5">
        <v>27</v>
      </c>
      <c r="AC7" s="5">
        <v>28</v>
      </c>
      <c r="AD7" s="5">
        <v>29</v>
      </c>
      <c r="AE7" s="5">
        <v>30</v>
      </c>
    </row>
    <row r="8" spans="1:31" ht="27" customHeight="1" x14ac:dyDescent="0.25">
      <c r="A8" s="21" t="s">
        <v>10</v>
      </c>
      <c r="B8" s="30"/>
      <c r="C8" s="31"/>
      <c r="D8" s="31"/>
      <c r="E8" s="31"/>
      <c r="F8" s="31"/>
      <c r="G8" s="32"/>
      <c r="H8" s="28"/>
      <c r="I8" s="28"/>
      <c r="J8" s="28"/>
      <c r="K8" s="29" t="s">
        <v>29</v>
      </c>
      <c r="L8" s="28"/>
      <c r="M8" s="28"/>
      <c r="N8" s="28"/>
      <c r="O8" s="28"/>
      <c r="P8" s="28"/>
      <c r="Q8" s="28"/>
      <c r="R8" s="29"/>
      <c r="S8" s="28"/>
      <c r="T8" s="28"/>
      <c r="U8" s="28"/>
      <c r="V8" s="28"/>
      <c r="W8" s="28"/>
      <c r="X8" s="29"/>
      <c r="Y8" s="28" t="s">
        <v>29</v>
      </c>
      <c r="Z8" s="28"/>
      <c r="AA8" s="28"/>
      <c r="AB8" s="28"/>
      <c r="AC8" s="28"/>
      <c r="AD8" s="28"/>
      <c r="AE8" s="29"/>
    </row>
    <row r="9" spans="1:31" ht="27" customHeight="1" x14ac:dyDescent="0.25">
      <c r="A9" s="22" t="s">
        <v>22</v>
      </c>
      <c r="B9" s="33"/>
      <c r="C9" s="34"/>
      <c r="D9" s="34"/>
      <c r="E9" s="34"/>
      <c r="F9" s="34"/>
      <c r="G9" s="28"/>
      <c r="H9" s="28"/>
      <c r="I9" s="28"/>
      <c r="J9" s="28"/>
      <c r="K9" s="29"/>
      <c r="L9" s="28" t="s">
        <v>29</v>
      </c>
      <c r="M9" s="28"/>
      <c r="N9" s="28"/>
      <c r="O9" s="28"/>
      <c r="P9" s="28"/>
      <c r="Q9" s="35"/>
      <c r="R9" s="29"/>
      <c r="S9" s="35"/>
      <c r="T9" s="35"/>
      <c r="U9" s="35"/>
      <c r="V9" s="35"/>
      <c r="W9" s="35"/>
      <c r="X9" s="29"/>
      <c r="Y9" s="35"/>
      <c r="Z9" s="35" t="s">
        <v>29</v>
      </c>
      <c r="AA9" s="35"/>
      <c r="AB9" s="35"/>
      <c r="AC9" s="35"/>
      <c r="AD9" s="35"/>
      <c r="AE9" s="29"/>
    </row>
    <row r="10" spans="1:31" ht="27" customHeight="1" thickBot="1" x14ac:dyDescent="0.3">
      <c r="A10" s="23" t="s">
        <v>15</v>
      </c>
      <c r="B10" s="36"/>
      <c r="C10" s="37"/>
      <c r="D10" s="38"/>
      <c r="E10" s="37"/>
      <c r="F10" s="38"/>
      <c r="G10" s="37"/>
      <c r="H10" s="38"/>
      <c r="I10" s="37"/>
      <c r="J10" s="38"/>
      <c r="K10" s="37"/>
      <c r="L10" s="29"/>
      <c r="M10" s="37" t="s">
        <v>29</v>
      </c>
      <c r="N10" s="38"/>
      <c r="O10" s="37"/>
      <c r="P10" s="39"/>
      <c r="Q10" s="37"/>
      <c r="R10" s="29"/>
      <c r="S10" s="37"/>
      <c r="T10" s="37"/>
      <c r="U10" s="37"/>
      <c r="V10" s="37"/>
      <c r="W10" s="37"/>
      <c r="X10" s="37"/>
      <c r="Y10" s="29"/>
      <c r="Z10" s="37"/>
      <c r="AA10" s="37" t="s">
        <v>29</v>
      </c>
      <c r="AB10" s="37"/>
      <c r="AC10" s="37"/>
      <c r="AD10" s="37"/>
      <c r="AE10" s="37"/>
    </row>
    <row r="11" spans="1:31" ht="27" customHeight="1" thickBot="1" x14ac:dyDescent="0.3">
      <c r="A11" s="23" t="s">
        <v>27</v>
      </c>
      <c r="B11" s="1150"/>
      <c r="C11" s="1151"/>
      <c r="D11" s="1151"/>
      <c r="E11" s="1151"/>
      <c r="F11" s="1151"/>
      <c r="G11" s="1151"/>
      <c r="H11" s="1151"/>
      <c r="I11" s="1151"/>
      <c r="J11" s="1151"/>
      <c r="K11" s="1151"/>
      <c r="L11" s="1151"/>
      <c r="M11" s="1151"/>
      <c r="N11" s="1151"/>
      <c r="O11" s="1151"/>
      <c r="P11" s="1151"/>
      <c r="Q11" s="1151"/>
      <c r="R11" s="1151"/>
      <c r="S11" s="1151"/>
      <c r="T11" s="1151"/>
      <c r="U11" s="1151"/>
      <c r="V11" s="1151"/>
      <c r="W11" s="1151"/>
      <c r="X11" s="1151"/>
      <c r="Y11" s="1151"/>
      <c r="Z11" s="1151"/>
      <c r="AA11" s="1151"/>
      <c r="AB11" s="1151"/>
      <c r="AC11" s="1151"/>
      <c r="AD11" s="1151"/>
      <c r="AE11" s="1151"/>
    </row>
    <row r="12" spans="1:31" ht="27" customHeight="1" x14ac:dyDescent="0.25">
      <c r="A12" s="15" t="s">
        <v>23</v>
      </c>
      <c r="B12" s="33"/>
      <c r="C12" s="34"/>
      <c r="D12" s="34"/>
      <c r="E12" s="34"/>
      <c r="F12" s="34"/>
      <c r="G12" s="34"/>
      <c r="H12" s="34"/>
      <c r="I12" s="34"/>
      <c r="J12" s="34"/>
      <c r="K12" s="34"/>
      <c r="L12" s="29"/>
      <c r="M12" s="34"/>
      <c r="N12" s="34" t="s">
        <v>29</v>
      </c>
      <c r="O12" s="34"/>
      <c r="P12" s="34"/>
      <c r="Q12" s="34"/>
      <c r="R12" s="34"/>
      <c r="S12" s="29"/>
      <c r="T12" s="34"/>
      <c r="U12" s="34"/>
      <c r="V12" s="34"/>
      <c r="W12" s="34"/>
      <c r="X12" s="34"/>
      <c r="Y12" s="29"/>
      <c r="Z12" s="34"/>
      <c r="AA12" s="34"/>
      <c r="AB12" s="34" t="s">
        <v>29</v>
      </c>
      <c r="AC12" s="34"/>
      <c r="AD12" s="34"/>
      <c r="AE12" s="34"/>
    </row>
    <row r="13" spans="1:31" ht="27" customHeight="1" x14ac:dyDescent="0.25">
      <c r="A13" s="24" t="s">
        <v>24</v>
      </c>
      <c r="B13" s="40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29"/>
      <c r="N13" s="41"/>
      <c r="O13" s="41" t="s">
        <v>29</v>
      </c>
      <c r="P13" s="41"/>
      <c r="Q13" s="41"/>
      <c r="R13" s="42"/>
      <c r="S13" s="29"/>
      <c r="T13" s="29"/>
      <c r="U13" s="43"/>
      <c r="V13" s="41"/>
      <c r="W13" s="41"/>
      <c r="X13" s="41"/>
      <c r="Y13" s="43"/>
      <c r="Z13" s="29"/>
      <c r="AA13" s="43"/>
      <c r="AB13" s="41"/>
      <c r="AC13" s="41" t="s">
        <v>29</v>
      </c>
      <c r="AD13" s="41"/>
      <c r="AE13" s="43"/>
    </row>
    <row r="14" spans="1:31" ht="27" customHeight="1" x14ac:dyDescent="0.25">
      <c r="A14" s="25" t="s">
        <v>28</v>
      </c>
      <c r="B14" s="40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29"/>
      <c r="N14" s="41"/>
      <c r="O14" s="41"/>
      <c r="P14" s="41" t="s">
        <v>29</v>
      </c>
      <c r="Q14" s="41"/>
      <c r="R14" s="42"/>
      <c r="S14" s="43"/>
      <c r="T14" s="29"/>
      <c r="U14" s="43"/>
      <c r="V14" s="41"/>
      <c r="W14" s="41"/>
      <c r="X14" s="41"/>
      <c r="Y14" s="43"/>
      <c r="Z14" s="29"/>
      <c r="AA14" s="43"/>
      <c r="AB14" s="41"/>
      <c r="AC14" s="41"/>
      <c r="AD14" s="41" t="s">
        <v>29</v>
      </c>
      <c r="AE14" s="43"/>
    </row>
    <row r="15" spans="1:31" ht="27" customHeight="1" x14ac:dyDescent="0.25">
      <c r="A15" s="25" t="s">
        <v>14</v>
      </c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29"/>
      <c r="O15" s="41"/>
      <c r="P15" s="41"/>
      <c r="Q15" s="41" t="s">
        <v>29</v>
      </c>
      <c r="R15" s="42"/>
      <c r="S15" s="43"/>
      <c r="T15" s="29"/>
      <c r="U15" s="29"/>
      <c r="V15" s="41"/>
      <c r="W15" s="41"/>
      <c r="X15" s="41"/>
      <c r="Y15" s="43"/>
      <c r="Z15" s="41"/>
      <c r="AA15" s="29"/>
      <c r="AB15" s="41"/>
      <c r="AC15" s="41"/>
      <c r="AD15" s="41"/>
      <c r="AE15" s="53" t="s">
        <v>29</v>
      </c>
    </row>
    <row r="16" spans="1:31" ht="27" customHeight="1" x14ac:dyDescent="0.25">
      <c r="A16" s="26" t="s">
        <v>12</v>
      </c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29"/>
      <c r="O16" s="41"/>
      <c r="P16" s="41"/>
      <c r="Q16" s="41"/>
      <c r="R16" s="41" t="s">
        <v>29</v>
      </c>
      <c r="S16" s="41"/>
      <c r="T16" s="41"/>
      <c r="U16" s="29"/>
      <c r="V16" s="41"/>
      <c r="W16" s="41"/>
      <c r="X16" s="42"/>
      <c r="Y16" s="41"/>
      <c r="Z16" s="42"/>
      <c r="AA16" s="29"/>
      <c r="AB16" s="41"/>
      <c r="AC16" s="41"/>
      <c r="AD16" s="41"/>
      <c r="AE16" s="41"/>
    </row>
    <row r="17" spans="1:31" ht="27" customHeight="1" x14ac:dyDescent="0.25">
      <c r="A17" s="26" t="s">
        <v>13</v>
      </c>
      <c r="B17" s="44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29"/>
      <c r="P17" s="35"/>
      <c r="Q17" s="35"/>
      <c r="R17" s="35"/>
      <c r="S17" s="35" t="s">
        <v>29</v>
      </c>
      <c r="T17" s="35"/>
      <c r="U17" s="29"/>
      <c r="V17" s="29"/>
      <c r="W17" s="35"/>
      <c r="X17" s="35"/>
      <c r="Y17" s="35"/>
      <c r="Z17" s="35"/>
      <c r="AA17" s="35"/>
      <c r="AB17" s="29"/>
      <c r="AC17" s="35"/>
      <c r="AD17" s="35"/>
      <c r="AE17" s="35"/>
    </row>
    <row r="18" spans="1:31" ht="27" customHeight="1" x14ac:dyDescent="0.25">
      <c r="A18" s="22" t="s">
        <v>25</v>
      </c>
      <c r="B18" s="33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29"/>
      <c r="P18" s="34"/>
      <c r="Q18" s="41"/>
      <c r="R18" s="41"/>
      <c r="S18" s="41"/>
      <c r="T18" s="41" t="s">
        <v>29</v>
      </c>
      <c r="U18" s="41"/>
      <c r="V18" s="29"/>
      <c r="W18" s="41"/>
      <c r="X18" s="41"/>
      <c r="Y18" s="41"/>
      <c r="Z18" s="41"/>
      <c r="AA18" s="41"/>
      <c r="AB18" s="29"/>
      <c r="AC18" s="41"/>
      <c r="AD18" s="41"/>
      <c r="AE18" s="41"/>
    </row>
    <row r="19" spans="1:31" ht="27" customHeight="1" x14ac:dyDescent="0.25">
      <c r="A19" s="23" t="s">
        <v>9</v>
      </c>
      <c r="B19" s="45"/>
      <c r="C19" s="46"/>
      <c r="D19" s="47"/>
      <c r="E19" s="46"/>
      <c r="F19" s="47"/>
      <c r="G19" s="46"/>
      <c r="H19" s="47"/>
      <c r="I19" s="46"/>
      <c r="J19" s="47"/>
      <c r="K19" s="46"/>
      <c r="L19" s="47"/>
      <c r="M19" s="46"/>
      <c r="N19" s="47"/>
      <c r="O19" s="46"/>
      <c r="P19" s="29"/>
      <c r="Q19" s="46"/>
      <c r="R19" s="46"/>
      <c r="S19" s="46"/>
      <c r="T19" s="46"/>
      <c r="U19" s="46" t="s">
        <v>29</v>
      </c>
      <c r="V19" s="29"/>
      <c r="W19" s="29"/>
      <c r="X19" s="46"/>
      <c r="Y19" s="46"/>
      <c r="Z19" s="46"/>
      <c r="AA19" s="46"/>
      <c r="AB19" s="46"/>
      <c r="AC19" s="29"/>
      <c r="AD19" s="46"/>
      <c r="AE19" s="46"/>
    </row>
    <row r="20" spans="1:31" ht="27" customHeight="1" x14ac:dyDescent="0.25">
      <c r="A20" s="15" t="s">
        <v>11</v>
      </c>
      <c r="B20" s="4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9"/>
      <c r="Q20" s="28"/>
      <c r="R20" s="28"/>
      <c r="S20" s="28"/>
      <c r="T20" s="28"/>
      <c r="U20" s="28"/>
      <c r="V20" s="28" t="s">
        <v>29</v>
      </c>
      <c r="W20" s="29"/>
      <c r="X20" s="28"/>
      <c r="Y20" s="28"/>
      <c r="Z20" s="28"/>
      <c r="AA20" s="28"/>
      <c r="AB20" s="28"/>
      <c r="AC20" s="29"/>
      <c r="AD20" s="28"/>
      <c r="AE20" s="28"/>
    </row>
    <row r="21" spans="1:31" ht="27" customHeight="1" x14ac:dyDescent="0.25">
      <c r="A21" s="24" t="s">
        <v>18</v>
      </c>
      <c r="B21" s="40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29"/>
      <c r="R21" s="42"/>
      <c r="S21" s="43"/>
      <c r="T21" s="41"/>
      <c r="U21" s="43"/>
      <c r="V21" s="41"/>
      <c r="W21" s="29" t="s">
        <v>29</v>
      </c>
      <c r="X21" s="29"/>
      <c r="Y21" s="43"/>
      <c r="Z21" s="41"/>
      <c r="AA21" s="43"/>
      <c r="AB21" s="41"/>
      <c r="AC21" s="41"/>
      <c r="AD21" s="29"/>
      <c r="AE21" s="43"/>
    </row>
    <row r="22" spans="1:31" ht="27" customHeight="1" thickBot="1" x14ac:dyDescent="0.3">
      <c r="A22" s="27" t="s">
        <v>26</v>
      </c>
      <c r="B22" s="49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1"/>
      <c r="R22" s="50"/>
      <c r="S22" s="50"/>
      <c r="T22" s="50"/>
      <c r="U22" s="50"/>
      <c r="V22" s="50"/>
      <c r="W22" s="50"/>
      <c r="X22" s="51" t="s">
        <v>29</v>
      </c>
      <c r="Y22" s="50"/>
      <c r="Z22" s="52"/>
      <c r="AA22" s="50"/>
      <c r="AB22" s="50"/>
      <c r="AC22" s="50"/>
      <c r="AD22" s="51"/>
      <c r="AE22" s="50"/>
    </row>
    <row r="25" spans="1:31" x14ac:dyDescent="0.2">
      <c r="K25" s="16"/>
    </row>
  </sheetData>
  <dataConsolidate/>
  <mergeCells count="3">
    <mergeCell ref="B11:AE11"/>
    <mergeCell ref="B5:AE5"/>
    <mergeCell ref="A6:A7"/>
  </mergeCells>
  <pageMargins left="0.23622047244094491" right="0.23622047244094491" top="0.23622047244094491" bottom="0.23622047244094491" header="0.31496062992125984" footer="0.31496062992125984"/>
  <pageSetup paperSize="9" fitToHeight="0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"/>
  <sheetViews>
    <sheetView workbookViewId="0">
      <selection activeCell="B29" sqref="B29"/>
    </sheetView>
  </sheetViews>
  <sheetFormatPr defaultRowHeight="12.75" x14ac:dyDescent="0.2"/>
  <cols>
    <col min="28" max="34" width="9.140625" customWidth="1"/>
  </cols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>
    <pageSetUpPr fitToPage="1"/>
  </sheetPr>
  <dimension ref="A1:AS2650"/>
  <sheetViews>
    <sheetView showGridLines="0" tabSelected="1" zoomScale="80" zoomScaleNormal="80" zoomScaleSheetLayoutView="90" workbookViewId="0">
      <pane ySplit="6" topLeftCell="A7" activePane="bottomLeft" state="frozen"/>
      <selection pane="bottomLeft" activeCell="F65" sqref="F65:AJ65"/>
    </sheetView>
  </sheetViews>
  <sheetFormatPr defaultRowHeight="20.25" customHeight="1" x14ac:dyDescent="0.2"/>
  <cols>
    <col min="1" max="1" width="9.140625" style="936"/>
    <col min="2" max="2" width="28.42578125" style="936" bestFit="1" customWidth="1"/>
    <col min="3" max="3" width="19" style="936" customWidth="1"/>
    <col min="4" max="4" width="12" style="936" customWidth="1"/>
    <col min="5" max="5" width="17.42578125" style="936" bestFit="1" customWidth="1"/>
    <col min="6" max="33" width="4.7109375" style="930" customWidth="1"/>
    <col min="34" max="35" width="4.7109375" style="983" customWidth="1"/>
    <col min="36" max="36" width="4.7109375" style="968" customWidth="1"/>
    <col min="37" max="37" width="35.7109375" style="936" bestFit="1" customWidth="1"/>
    <col min="38" max="38" width="8.42578125" style="937" customWidth="1"/>
    <col min="39" max="39" width="21" style="936" customWidth="1"/>
    <col min="40" max="41" width="16.42578125" style="936" bestFit="1" customWidth="1"/>
    <col min="42" max="43" width="9.140625" style="936"/>
    <col min="44" max="44" width="4.5703125" style="936" customWidth="1"/>
    <col min="45" max="45" width="9.140625" style="936"/>
    <col min="46" max="46" width="5" style="936" customWidth="1"/>
    <col min="47" max="16384" width="9.140625" style="936"/>
  </cols>
  <sheetData>
    <row r="1" spans="1:41" ht="20.25" customHeight="1" x14ac:dyDescent="0.2">
      <c r="A1" s="934"/>
      <c r="B1" s="934"/>
      <c r="C1" s="934"/>
      <c r="D1" s="934"/>
      <c r="E1" s="934"/>
      <c r="F1" s="935"/>
      <c r="G1" s="935"/>
      <c r="H1" s="935"/>
      <c r="I1" s="935"/>
      <c r="J1" s="935"/>
      <c r="K1" s="935"/>
      <c r="L1" s="935"/>
      <c r="M1" s="935"/>
      <c r="N1" s="935"/>
      <c r="O1" s="935"/>
      <c r="P1" s="935"/>
      <c r="Q1" s="935"/>
      <c r="R1" s="935"/>
      <c r="S1" s="935"/>
      <c r="T1" s="935"/>
      <c r="U1" s="935"/>
      <c r="V1" s="935"/>
      <c r="W1" s="935"/>
      <c r="X1" s="935"/>
      <c r="Y1" s="935"/>
      <c r="Z1" s="935"/>
      <c r="AA1" s="935"/>
      <c r="AB1" s="935"/>
      <c r="AC1" s="935"/>
      <c r="AD1" s="935"/>
      <c r="AE1" s="935"/>
      <c r="AF1" s="935"/>
      <c r="AG1" s="935"/>
      <c r="AH1" s="984"/>
      <c r="AI1" s="985"/>
      <c r="AJ1" s="985"/>
      <c r="AM1" s="1161">
        <v>46143</v>
      </c>
      <c r="AN1" s="1162"/>
      <c r="AO1" s="1163"/>
    </row>
    <row r="2" spans="1:41" ht="20.25" customHeight="1" x14ac:dyDescent="0.2">
      <c r="A2" s="1164" t="str">
        <f>CONCATENATE("ESCALA ESPECIAL DE APOIO OPERACIONAL - ",TEXT(AM1,"MMMM"),"/",YEAR(AM1))</f>
        <v>ESCALA ESPECIAL DE APOIO OPERACIONAL - maio/2026</v>
      </c>
      <c r="B2" s="1164"/>
      <c r="C2" s="1164"/>
      <c r="D2" s="1164"/>
      <c r="E2" s="1165"/>
      <c r="F2" s="938" t="str">
        <f>IFERROR(TEXT(DATE(YEAR($AM$1),MONTH($AM$1),F6),"ddd"),"")</f>
        <v>sex</v>
      </c>
      <c r="G2" s="938" t="str">
        <f t="shared" ref="G2:AJ2" si="0">IFERROR(TEXT(DATE(YEAR($AM$1),MONTH($AM$1),G6),"ddd"),"")</f>
        <v>sáb</v>
      </c>
      <c r="H2" s="938" t="str">
        <f t="shared" si="0"/>
        <v>dom</v>
      </c>
      <c r="I2" s="938" t="str">
        <f t="shared" si="0"/>
        <v>seg</v>
      </c>
      <c r="J2" s="938" t="str">
        <f t="shared" si="0"/>
        <v>ter</v>
      </c>
      <c r="K2" s="938" t="str">
        <f t="shared" si="0"/>
        <v>qua</v>
      </c>
      <c r="L2" s="938" t="str">
        <f t="shared" si="0"/>
        <v>qui</v>
      </c>
      <c r="M2" s="938" t="str">
        <f t="shared" si="0"/>
        <v>sex</v>
      </c>
      <c r="N2" s="938" t="str">
        <f t="shared" si="0"/>
        <v>sáb</v>
      </c>
      <c r="O2" s="938" t="str">
        <f t="shared" si="0"/>
        <v>dom</v>
      </c>
      <c r="P2" s="938" t="str">
        <f t="shared" si="0"/>
        <v>seg</v>
      </c>
      <c r="Q2" s="938" t="str">
        <f t="shared" si="0"/>
        <v>ter</v>
      </c>
      <c r="R2" s="938" t="str">
        <f t="shared" si="0"/>
        <v>qua</v>
      </c>
      <c r="S2" s="938" t="str">
        <f t="shared" si="0"/>
        <v>qui</v>
      </c>
      <c r="T2" s="938" t="str">
        <f t="shared" si="0"/>
        <v>sex</v>
      </c>
      <c r="U2" s="938" t="str">
        <f t="shared" si="0"/>
        <v>sáb</v>
      </c>
      <c r="V2" s="938" t="str">
        <f t="shared" si="0"/>
        <v>dom</v>
      </c>
      <c r="W2" s="938" t="str">
        <f t="shared" si="0"/>
        <v>seg</v>
      </c>
      <c r="X2" s="938" t="str">
        <f t="shared" si="0"/>
        <v>ter</v>
      </c>
      <c r="Y2" s="938" t="str">
        <f t="shared" si="0"/>
        <v>qua</v>
      </c>
      <c r="Z2" s="938" t="str">
        <f t="shared" si="0"/>
        <v>qui</v>
      </c>
      <c r="AA2" s="938" t="str">
        <f t="shared" si="0"/>
        <v>sex</v>
      </c>
      <c r="AB2" s="938" t="str">
        <f t="shared" si="0"/>
        <v>sáb</v>
      </c>
      <c r="AC2" s="938" t="str">
        <f t="shared" si="0"/>
        <v>dom</v>
      </c>
      <c r="AD2" s="938" t="str">
        <f t="shared" si="0"/>
        <v>seg</v>
      </c>
      <c r="AE2" s="938" t="str">
        <f t="shared" si="0"/>
        <v>ter</v>
      </c>
      <c r="AF2" s="938" t="str">
        <f t="shared" si="0"/>
        <v>qua</v>
      </c>
      <c r="AG2" s="938" t="str">
        <f t="shared" si="0"/>
        <v>qui</v>
      </c>
      <c r="AH2" s="982" t="str">
        <f ca="1">IFERROR(TEXT(DATE(YEAR($AM$1),MONTH($AM$1),AH6),"ddd"),"")</f>
        <v>sex</v>
      </c>
      <c r="AI2" s="982" t="str">
        <f t="shared" si="0"/>
        <v>sáb</v>
      </c>
      <c r="AJ2" s="1002" t="str">
        <f t="shared" si="0"/>
        <v>dom</v>
      </c>
      <c r="AK2" s="931"/>
      <c r="AM2" s="1168" t="s">
        <v>223</v>
      </c>
      <c r="AN2" s="1169"/>
      <c r="AO2" s="1170"/>
    </row>
    <row r="3" spans="1:41" ht="20.25" hidden="1" customHeight="1" x14ac:dyDescent="0.2">
      <c r="A3" s="932"/>
      <c r="B3" s="1166" t="s">
        <v>224</v>
      </c>
      <c r="C3" s="1166"/>
      <c r="D3" s="1166"/>
      <c r="E3" s="1167"/>
      <c r="F3" s="938" t="str">
        <f>LEFT(AM6)</f>
        <v>C</v>
      </c>
      <c r="G3" s="938" t="str">
        <f>IF(F3="A","B",IF(F3="B","C",IF(F3="C","D",IF(F3="D","A",""))))</f>
        <v>D</v>
      </c>
      <c r="H3" s="938" t="str">
        <f t="shared" ref="H3:AJ3" si="1">IF(G3="A","B",IF(G3="B","C",IF(G3="C","D",IF(G3="D","A",""))))</f>
        <v>A</v>
      </c>
      <c r="I3" s="938" t="str">
        <f t="shared" si="1"/>
        <v>B</v>
      </c>
      <c r="J3" s="938" t="str">
        <f t="shared" si="1"/>
        <v>C</v>
      </c>
      <c r="K3" s="938" t="str">
        <f t="shared" si="1"/>
        <v>D</v>
      </c>
      <c r="L3" s="938" t="str">
        <f t="shared" si="1"/>
        <v>A</v>
      </c>
      <c r="M3" s="938" t="str">
        <f t="shared" si="1"/>
        <v>B</v>
      </c>
      <c r="N3" s="938" t="str">
        <f t="shared" si="1"/>
        <v>C</v>
      </c>
      <c r="O3" s="938" t="str">
        <f t="shared" si="1"/>
        <v>D</v>
      </c>
      <c r="P3" s="938" t="str">
        <f t="shared" si="1"/>
        <v>A</v>
      </c>
      <c r="Q3" s="938" t="str">
        <f t="shared" si="1"/>
        <v>B</v>
      </c>
      <c r="R3" s="938" t="str">
        <f t="shared" si="1"/>
        <v>C</v>
      </c>
      <c r="S3" s="938" t="str">
        <f t="shared" si="1"/>
        <v>D</v>
      </c>
      <c r="T3" s="938" t="str">
        <f t="shared" si="1"/>
        <v>A</v>
      </c>
      <c r="U3" s="938" t="str">
        <f t="shared" si="1"/>
        <v>B</v>
      </c>
      <c r="V3" s="938" t="str">
        <f t="shared" si="1"/>
        <v>C</v>
      </c>
      <c r="W3" s="938" t="str">
        <f t="shared" si="1"/>
        <v>D</v>
      </c>
      <c r="X3" s="938" t="str">
        <f t="shared" si="1"/>
        <v>A</v>
      </c>
      <c r="Y3" s="938" t="str">
        <f t="shared" si="1"/>
        <v>B</v>
      </c>
      <c r="Z3" s="938" t="str">
        <f t="shared" si="1"/>
        <v>C</v>
      </c>
      <c r="AA3" s="938" t="str">
        <f t="shared" si="1"/>
        <v>D</v>
      </c>
      <c r="AB3" s="938" t="str">
        <f t="shared" si="1"/>
        <v>A</v>
      </c>
      <c r="AC3" s="938" t="str">
        <f t="shared" si="1"/>
        <v>B</v>
      </c>
      <c r="AD3" s="938" t="str">
        <f t="shared" si="1"/>
        <v>C</v>
      </c>
      <c r="AE3" s="938" t="str">
        <f t="shared" si="1"/>
        <v>D</v>
      </c>
      <c r="AF3" s="938" t="str">
        <f t="shared" si="1"/>
        <v>A</v>
      </c>
      <c r="AG3" s="938" t="str">
        <f t="shared" si="1"/>
        <v>B</v>
      </c>
      <c r="AH3" s="982" t="str">
        <f t="shared" si="1"/>
        <v>C</v>
      </c>
      <c r="AI3" s="982" t="str">
        <f t="shared" si="1"/>
        <v>D</v>
      </c>
      <c r="AJ3" s="1002" t="str">
        <f t="shared" si="1"/>
        <v>A</v>
      </c>
      <c r="AK3" s="931"/>
      <c r="AM3" s="939"/>
      <c r="AN3" s="933"/>
      <c r="AO3" s="940"/>
    </row>
    <row r="4" spans="1:41" ht="20.25" hidden="1" customHeight="1" x14ac:dyDescent="0.2">
      <c r="A4" s="932"/>
      <c r="B4" s="1166" t="s">
        <v>16</v>
      </c>
      <c r="C4" s="1166"/>
      <c r="D4" s="1166"/>
      <c r="E4" s="1167"/>
      <c r="F4" s="938" t="str">
        <f>CONCATENATE(LEFT(AN6,1),RIGHT(AN6,1))</f>
        <v>B1</v>
      </c>
      <c r="G4" s="938" t="str">
        <f>IF(F4="A1","A2",IF(F4="A2","B1",IF(F4="B1","B2",IF(F4="B2","C1",IF(F4="C1","C2","A1")))))</f>
        <v>B2</v>
      </c>
      <c r="H4" s="938" t="str">
        <f t="shared" ref="H4:AJ4" si="2">IF(G4="A1","A2",IF(G4="A2","B1",IF(G4="B1","B2",IF(G4="B2","C1",IF(G4="C1","C2","A1")))))</f>
        <v>C1</v>
      </c>
      <c r="I4" s="938" t="str">
        <f t="shared" si="2"/>
        <v>C2</v>
      </c>
      <c r="J4" s="938" t="str">
        <f t="shared" si="2"/>
        <v>A1</v>
      </c>
      <c r="K4" s="938" t="str">
        <f t="shared" si="2"/>
        <v>A2</v>
      </c>
      <c r="L4" s="938" t="str">
        <f t="shared" si="2"/>
        <v>B1</v>
      </c>
      <c r="M4" s="938" t="str">
        <f t="shared" si="2"/>
        <v>B2</v>
      </c>
      <c r="N4" s="938" t="str">
        <f t="shared" si="2"/>
        <v>C1</v>
      </c>
      <c r="O4" s="938" t="str">
        <f t="shared" si="2"/>
        <v>C2</v>
      </c>
      <c r="P4" s="938" t="str">
        <f t="shared" si="2"/>
        <v>A1</v>
      </c>
      <c r="Q4" s="938" t="str">
        <f t="shared" si="2"/>
        <v>A2</v>
      </c>
      <c r="R4" s="938" t="str">
        <f t="shared" si="2"/>
        <v>B1</v>
      </c>
      <c r="S4" s="938" t="str">
        <f t="shared" si="2"/>
        <v>B2</v>
      </c>
      <c r="T4" s="938" t="str">
        <f t="shared" si="2"/>
        <v>C1</v>
      </c>
      <c r="U4" s="938" t="str">
        <f t="shared" si="2"/>
        <v>C2</v>
      </c>
      <c r="V4" s="938" t="str">
        <f t="shared" si="2"/>
        <v>A1</v>
      </c>
      <c r="W4" s="938" t="str">
        <f t="shared" si="2"/>
        <v>A2</v>
      </c>
      <c r="X4" s="938" t="str">
        <f t="shared" si="2"/>
        <v>B1</v>
      </c>
      <c r="Y4" s="938" t="str">
        <f t="shared" si="2"/>
        <v>B2</v>
      </c>
      <c r="Z4" s="938" t="str">
        <f t="shared" si="2"/>
        <v>C1</v>
      </c>
      <c r="AA4" s="938" t="str">
        <f t="shared" si="2"/>
        <v>C2</v>
      </c>
      <c r="AB4" s="938" t="str">
        <f t="shared" si="2"/>
        <v>A1</v>
      </c>
      <c r="AC4" s="938" t="str">
        <f t="shared" si="2"/>
        <v>A2</v>
      </c>
      <c r="AD4" s="938" t="str">
        <f t="shared" si="2"/>
        <v>B1</v>
      </c>
      <c r="AE4" s="938" t="str">
        <f t="shared" si="2"/>
        <v>B2</v>
      </c>
      <c r="AF4" s="938" t="str">
        <f t="shared" si="2"/>
        <v>C1</v>
      </c>
      <c r="AG4" s="938" t="str">
        <f t="shared" si="2"/>
        <v>C2</v>
      </c>
      <c r="AH4" s="982" t="str">
        <f t="shared" si="2"/>
        <v>A1</v>
      </c>
      <c r="AI4" s="982" t="str">
        <f t="shared" si="2"/>
        <v>A2</v>
      </c>
      <c r="AJ4" s="1002" t="str">
        <f t="shared" si="2"/>
        <v>B1</v>
      </c>
      <c r="AK4" s="931"/>
      <c r="AM4" s="941"/>
      <c r="AN4" s="933"/>
      <c r="AO4" s="940"/>
    </row>
    <row r="5" spans="1:41" ht="20.25" hidden="1" customHeight="1" x14ac:dyDescent="0.2">
      <c r="A5" s="932"/>
      <c r="B5" s="1166" t="s">
        <v>30</v>
      </c>
      <c r="C5" s="1166"/>
      <c r="D5" s="1166"/>
      <c r="E5" s="1167"/>
      <c r="F5" s="938" t="str">
        <f>CONCATENATE(LEFT(AO6,1),RIGHT(AO6,2))</f>
        <v>112</v>
      </c>
      <c r="G5" s="938" t="str">
        <f t="shared" ref="G5:L5" si="3">IF(F5="S11","S12",IF(F5="S12","S21",IF(F5="S21","S22",IF(F5="S22","S13",IF(F5="S13","S14",IF(F5="S14","S15",IF(F5="S15","S23",IF(F5="S23","S24",IF(F5="S24","S25","S11")))))))))</f>
        <v>S11</v>
      </c>
      <c r="H5" s="938" t="str">
        <f t="shared" si="3"/>
        <v>S12</v>
      </c>
      <c r="I5" s="938" t="str">
        <f t="shared" si="3"/>
        <v>S21</v>
      </c>
      <c r="J5" s="938" t="str">
        <f t="shared" si="3"/>
        <v>S22</v>
      </c>
      <c r="K5" s="938" t="str">
        <f t="shared" si="3"/>
        <v>S13</v>
      </c>
      <c r="L5" s="938" t="str">
        <f t="shared" si="3"/>
        <v>S14</v>
      </c>
      <c r="M5" s="938" t="str">
        <f>IF(L5="S11","S12",IF(L5="S12","S21",IF(L5="S21","S22",IF(L5="S22","S13",IF(L5="S13","S14",IF(L5="S14","S15",IF(L5="S15","S23",IF(L5="S23","S24",IF(L5="S24","S25","S11")))))))))</f>
        <v>S15</v>
      </c>
      <c r="N5" s="938" t="str">
        <f t="shared" ref="N5:AJ5" si="4">IF(M5="S11","S12",IF(M5="S12","S21",IF(M5="S21","S22",IF(M5="S22","S13",IF(M5="S13","S14",IF(M5="S14","S15",IF(M5="S15","S23",IF(M5="S23","S24",IF(M5="S24","S25","S11")))))))))</f>
        <v>S23</v>
      </c>
      <c r="O5" s="938" t="str">
        <f t="shared" si="4"/>
        <v>S24</v>
      </c>
      <c r="P5" s="938" t="str">
        <f t="shared" si="4"/>
        <v>S25</v>
      </c>
      <c r="Q5" s="938" t="str">
        <f t="shared" si="4"/>
        <v>S11</v>
      </c>
      <c r="R5" s="938" t="str">
        <f t="shared" si="4"/>
        <v>S12</v>
      </c>
      <c r="S5" s="938" t="str">
        <f t="shared" si="4"/>
        <v>S21</v>
      </c>
      <c r="T5" s="938" t="str">
        <f t="shared" si="4"/>
        <v>S22</v>
      </c>
      <c r="U5" s="938" t="str">
        <f t="shared" si="4"/>
        <v>S13</v>
      </c>
      <c r="V5" s="938" t="str">
        <f t="shared" si="4"/>
        <v>S14</v>
      </c>
      <c r="W5" s="938" t="str">
        <f t="shared" si="4"/>
        <v>S15</v>
      </c>
      <c r="X5" s="938" t="str">
        <f t="shared" si="4"/>
        <v>S23</v>
      </c>
      <c r="Y5" s="938" t="str">
        <f t="shared" si="4"/>
        <v>S24</v>
      </c>
      <c r="Z5" s="938" t="str">
        <f t="shared" si="4"/>
        <v>S25</v>
      </c>
      <c r="AA5" s="938" t="str">
        <f t="shared" si="4"/>
        <v>S11</v>
      </c>
      <c r="AB5" s="938" t="str">
        <f t="shared" si="4"/>
        <v>S12</v>
      </c>
      <c r="AC5" s="938" t="str">
        <f t="shared" si="4"/>
        <v>S21</v>
      </c>
      <c r="AD5" s="938" t="str">
        <f t="shared" si="4"/>
        <v>S22</v>
      </c>
      <c r="AE5" s="938" t="str">
        <f t="shared" si="4"/>
        <v>S13</v>
      </c>
      <c r="AF5" s="938" t="str">
        <f t="shared" si="4"/>
        <v>S14</v>
      </c>
      <c r="AG5" s="938" t="str">
        <f t="shared" si="4"/>
        <v>S15</v>
      </c>
      <c r="AH5" s="982" t="str">
        <f t="shared" si="4"/>
        <v>S23</v>
      </c>
      <c r="AI5" s="982" t="str">
        <f t="shared" si="4"/>
        <v>S24</v>
      </c>
      <c r="AJ5" s="1002" t="str">
        <f t="shared" si="4"/>
        <v>S25</v>
      </c>
      <c r="AK5" s="931"/>
      <c r="AM5" s="941"/>
      <c r="AN5" s="933"/>
      <c r="AO5" s="940"/>
    </row>
    <row r="6" spans="1:41" ht="20.25" customHeight="1" thickBot="1" x14ac:dyDescent="0.25">
      <c r="A6" s="942"/>
      <c r="B6" s="942" t="s">
        <v>221</v>
      </c>
      <c r="C6" s="943" t="s">
        <v>34</v>
      </c>
      <c r="D6" s="942" t="s">
        <v>17</v>
      </c>
      <c r="E6" s="942" t="s">
        <v>222</v>
      </c>
      <c r="F6" s="943">
        <v>1</v>
      </c>
      <c r="G6" s="944">
        <f>F6+1</f>
        <v>2</v>
      </c>
      <c r="H6" s="944">
        <f t="shared" ref="H6:AG6" si="5">G6+1</f>
        <v>3</v>
      </c>
      <c r="I6" s="944">
        <f t="shared" si="5"/>
        <v>4</v>
      </c>
      <c r="J6" s="944">
        <f t="shared" si="5"/>
        <v>5</v>
      </c>
      <c r="K6" s="944">
        <f t="shared" si="5"/>
        <v>6</v>
      </c>
      <c r="L6" s="944">
        <f t="shared" si="5"/>
        <v>7</v>
      </c>
      <c r="M6" s="944">
        <f t="shared" si="5"/>
        <v>8</v>
      </c>
      <c r="N6" s="944">
        <f t="shared" si="5"/>
        <v>9</v>
      </c>
      <c r="O6" s="944">
        <f t="shared" si="5"/>
        <v>10</v>
      </c>
      <c r="P6" s="944">
        <f t="shared" si="5"/>
        <v>11</v>
      </c>
      <c r="Q6" s="944">
        <f t="shared" si="5"/>
        <v>12</v>
      </c>
      <c r="R6" s="944">
        <f t="shared" si="5"/>
        <v>13</v>
      </c>
      <c r="S6" s="944">
        <f t="shared" si="5"/>
        <v>14</v>
      </c>
      <c r="T6" s="944">
        <f t="shared" si="5"/>
        <v>15</v>
      </c>
      <c r="U6" s="944">
        <f t="shared" si="5"/>
        <v>16</v>
      </c>
      <c r="V6" s="944">
        <f t="shared" si="5"/>
        <v>17</v>
      </c>
      <c r="W6" s="944">
        <f t="shared" si="5"/>
        <v>18</v>
      </c>
      <c r="X6" s="944">
        <f t="shared" si="5"/>
        <v>19</v>
      </c>
      <c r="Y6" s="944">
        <f t="shared" si="5"/>
        <v>20</v>
      </c>
      <c r="Z6" s="944">
        <f t="shared" si="5"/>
        <v>21</v>
      </c>
      <c r="AA6" s="944">
        <f t="shared" si="5"/>
        <v>22</v>
      </c>
      <c r="AB6" s="944">
        <f t="shared" si="5"/>
        <v>23</v>
      </c>
      <c r="AC6" s="944">
        <f t="shared" si="5"/>
        <v>24</v>
      </c>
      <c r="AD6" s="944">
        <f t="shared" si="5"/>
        <v>25</v>
      </c>
      <c r="AE6" s="944">
        <f t="shared" si="5"/>
        <v>26</v>
      </c>
      <c r="AF6" s="944">
        <f t="shared" si="5"/>
        <v>27</v>
      </c>
      <c r="AG6" s="944">
        <f t="shared" si="5"/>
        <v>28</v>
      </c>
      <c r="AH6" s="986">
        <f ca="1">IF(OR(MONTH(AM1)&lt;&gt;2,AND(MONTH(AM1)=2,MOD(YEAR(TODAY()),4)=0)),AG6+1,"")</f>
        <v>29</v>
      </c>
      <c r="AI6" s="986">
        <f>IF(MONTH(AM1)=2,"",30)</f>
        <v>30</v>
      </c>
      <c r="AJ6" s="986">
        <f>IF(OR(MONTH(AM1)=1,MONTH(AM1)=3,MONTH(AM1)=5,MONTH(AM1)=7,MONTH(AM1)=8,MONTH(AM1)=10,MONTH(AM1)=12),31,"")</f>
        <v>31</v>
      </c>
      <c r="AK6" s="945" t="s">
        <v>227</v>
      </c>
      <c r="AM6" s="946" t="s">
        <v>216</v>
      </c>
      <c r="AN6" s="947" t="s">
        <v>348</v>
      </c>
      <c r="AO6" s="948">
        <v>12</v>
      </c>
    </row>
    <row r="7" spans="1:41" ht="20.25" customHeight="1" x14ac:dyDescent="0.2">
      <c r="A7" s="949">
        <f>VLOOKUP(D7,EFETIVO!$C$2:$D$223,2,0)</f>
        <v>31</v>
      </c>
      <c r="B7" s="976" t="str">
        <f>VLOOKUP(D7,EFETIVO!$F$2:$G$127,2,0)</f>
        <v>2ºSGT JÚLIO</v>
      </c>
      <c r="C7" s="978" t="str">
        <f>VLOOKUP(D7,EFETIVO!$F:$H,3,0)</f>
        <v>CHEFE</v>
      </c>
      <c r="D7" s="955">
        <v>2981009</v>
      </c>
      <c r="E7" s="949" t="s">
        <v>214</v>
      </c>
      <c r="F7" s="950"/>
      <c r="G7" s="950"/>
      <c r="H7" s="950"/>
      <c r="I7" s="950"/>
      <c r="J7" s="950"/>
      <c r="K7" s="950"/>
      <c r="L7" s="950"/>
      <c r="M7" s="950"/>
      <c r="N7" s="950"/>
      <c r="O7" s="950"/>
      <c r="P7" s="950"/>
      <c r="Q7" s="950"/>
      <c r="R7" s="950"/>
      <c r="S7" s="950"/>
      <c r="T7" s="950"/>
      <c r="U7" s="950"/>
      <c r="V7" s="950"/>
      <c r="W7" s="950"/>
      <c r="X7" s="950"/>
      <c r="Y7" s="950" t="s">
        <v>349</v>
      </c>
      <c r="Z7" s="950"/>
      <c r="AA7" s="950"/>
      <c r="AB7" s="950"/>
      <c r="AC7" s="950"/>
      <c r="AD7" s="950"/>
      <c r="AE7" s="950"/>
      <c r="AF7" s="950"/>
      <c r="AG7" s="950"/>
      <c r="AH7" s="962"/>
      <c r="AI7" s="962"/>
      <c r="AJ7" s="962"/>
      <c r="AK7" s="951"/>
      <c r="AM7" s="930"/>
      <c r="AN7" s="930"/>
      <c r="AO7" s="930"/>
    </row>
    <row r="8" spans="1:41" ht="20.25" customHeight="1" x14ac:dyDescent="0.2">
      <c r="A8" s="949">
        <f>VLOOKUP(D8,EFETIVO!$C$2:$D$223,2,0)</f>
        <v>38</v>
      </c>
      <c r="B8" s="976" t="str">
        <f>VLOOKUP(D8,EFETIVO!$F$2:$G$127,2,0)</f>
        <v>3º SGT LOUZADA</v>
      </c>
      <c r="C8" s="978" t="str">
        <f>VLOOKUP(D8,EFETIVO!$F:$H,3,0)</f>
        <v>CHEFE</v>
      </c>
      <c r="D8" s="955">
        <v>3037703</v>
      </c>
      <c r="E8" s="949" t="s">
        <v>214</v>
      </c>
      <c r="F8" s="950"/>
      <c r="G8" s="950"/>
      <c r="H8" s="950"/>
      <c r="I8" s="950"/>
      <c r="J8" s="950"/>
      <c r="K8" s="950"/>
      <c r="L8" s="950"/>
      <c r="M8" s="950"/>
      <c r="N8" s="950"/>
      <c r="O8" s="950"/>
      <c r="P8" s="950"/>
      <c r="Q8" s="950"/>
      <c r="R8" s="950"/>
      <c r="S8" s="950"/>
      <c r="T8" s="950"/>
      <c r="U8" s="950"/>
      <c r="V8" s="950"/>
      <c r="W8" s="950"/>
      <c r="X8" s="950"/>
      <c r="Y8" s="950"/>
      <c r="Z8" s="950"/>
      <c r="AA8" s="950"/>
      <c r="AB8" s="950"/>
      <c r="AC8" s="950" t="s">
        <v>349</v>
      </c>
      <c r="AD8" s="950"/>
      <c r="AE8" s="950"/>
      <c r="AF8" s="950"/>
      <c r="AG8" s="950"/>
      <c r="AH8" s="950"/>
      <c r="AI8" s="950"/>
      <c r="AJ8" s="950"/>
      <c r="AK8" s="958"/>
      <c r="AM8" s="930"/>
      <c r="AN8" s="930"/>
      <c r="AO8" s="930"/>
    </row>
    <row r="9" spans="1:41" ht="20.25" customHeight="1" x14ac:dyDescent="0.2">
      <c r="A9" s="949">
        <f>VLOOKUP(D9,EFETIVO!$C$2:$D$223,2,0)</f>
        <v>47</v>
      </c>
      <c r="B9" s="976" t="str">
        <f>VLOOKUP(D9,EFETIVO!$F$2:$G$127,2,0)</f>
        <v>3º SGT GASTALDI</v>
      </c>
      <c r="C9" s="978" t="str">
        <f>VLOOKUP(D9,EFETIVO!$F:$H,3,0)</f>
        <v>CHEFE</v>
      </c>
      <c r="D9" s="955">
        <v>2966220</v>
      </c>
      <c r="E9" s="949" t="s">
        <v>214</v>
      </c>
      <c r="F9" s="950"/>
      <c r="G9" s="950"/>
      <c r="H9" s="950"/>
      <c r="I9" s="950"/>
      <c r="J9" s="950"/>
      <c r="K9" s="950"/>
      <c r="L9" s="950"/>
      <c r="M9" s="950"/>
      <c r="N9" s="950"/>
      <c r="O9" s="950"/>
      <c r="P9" s="950"/>
      <c r="Q9" s="950" t="s">
        <v>349</v>
      </c>
      <c r="R9" s="950"/>
      <c r="S9" s="950"/>
      <c r="T9" s="950"/>
      <c r="U9" s="950"/>
      <c r="V9" s="950"/>
      <c r="W9" s="950"/>
      <c r="X9" s="950"/>
      <c r="Y9" s="950"/>
      <c r="Z9" s="950"/>
      <c r="AA9" s="950"/>
      <c r="AB9" s="950"/>
      <c r="AC9" s="950"/>
      <c r="AD9" s="950"/>
      <c r="AE9" s="950"/>
      <c r="AF9" s="950"/>
      <c r="AG9" s="950"/>
      <c r="AH9" s="962"/>
      <c r="AI9" s="962"/>
      <c r="AJ9" s="962"/>
      <c r="AK9" s="956"/>
      <c r="AM9" s="930"/>
      <c r="AN9" s="930"/>
      <c r="AO9" s="930"/>
    </row>
    <row r="10" spans="1:41" ht="20.25" customHeight="1" x14ac:dyDescent="0.2">
      <c r="A10" s="949">
        <f>VLOOKUP(D10,EFETIVO!$C$2:$D$223,2,0)</f>
        <v>57</v>
      </c>
      <c r="B10" s="976" t="str">
        <f>VLOOKUP(D10,EFETIVO!$F$2:$G$127,2,0)</f>
        <v>CB FABRE</v>
      </c>
      <c r="C10" s="978" t="str">
        <f>VLOOKUP(D10,EFETIVO!$F:$H,3,0)</f>
        <v>CONDUTOR</v>
      </c>
      <c r="D10" s="955">
        <v>3055566</v>
      </c>
      <c r="E10" s="949" t="s">
        <v>214</v>
      </c>
      <c r="F10" s="950"/>
      <c r="G10" s="950"/>
      <c r="H10" s="950"/>
      <c r="I10" s="950"/>
      <c r="J10" s="950"/>
      <c r="K10" s="950"/>
      <c r="L10" s="950"/>
      <c r="M10" s="950"/>
      <c r="N10" s="950"/>
      <c r="O10" s="950"/>
      <c r="P10" s="950"/>
      <c r="Q10" s="950"/>
      <c r="R10" s="950"/>
      <c r="S10" s="950"/>
      <c r="T10" s="950"/>
      <c r="U10" s="950"/>
      <c r="V10" s="950"/>
      <c r="W10" s="950"/>
      <c r="X10" s="950"/>
      <c r="Y10" s="950"/>
      <c r="Z10" s="950"/>
      <c r="AA10" s="950"/>
      <c r="AB10" s="950"/>
      <c r="AC10" s="950"/>
      <c r="AD10" s="950"/>
      <c r="AE10" s="950"/>
      <c r="AF10" s="950"/>
      <c r="AG10" s="950" t="s">
        <v>349</v>
      </c>
      <c r="AH10" s="962"/>
      <c r="AI10" s="962"/>
      <c r="AJ10" s="962"/>
      <c r="AK10" s="981"/>
    </row>
    <row r="11" spans="1:41" ht="20.25" customHeight="1" x14ac:dyDescent="0.2">
      <c r="A11" s="949">
        <f>VLOOKUP(D11,EFETIVO!$C$2:$D$223,2,0)</f>
        <v>61</v>
      </c>
      <c r="B11" s="976" t="str">
        <f>VLOOKUP(D11,EFETIVO!$F$2:$G$127,2,0)</f>
        <v>CB ASSIS</v>
      </c>
      <c r="C11" s="978" t="str">
        <f>VLOOKUP(D11,EFETIVO!$F:$H,3,0)</f>
        <v>CONDUTOR</v>
      </c>
      <c r="D11" s="955">
        <v>3371760</v>
      </c>
      <c r="E11" s="949" t="s">
        <v>214</v>
      </c>
      <c r="F11" s="950"/>
      <c r="G11" s="950"/>
      <c r="H11" s="950"/>
      <c r="I11" s="950" t="s">
        <v>349</v>
      </c>
      <c r="J11" s="950"/>
      <c r="K11" s="950"/>
      <c r="L11" s="950"/>
      <c r="M11" s="950"/>
      <c r="N11" s="950"/>
      <c r="O11" s="950"/>
      <c r="P11" s="950" t="s">
        <v>362</v>
      </c>
      <c r="Q11" s="950" t="s">
        <v>362</v>
      </c>
      <c r="R11" s="950" t="s">
        <v>362</v>
      </c>
      <c r="S11" s="950" t="s">
        <v>362</v>
      </c>
      <c r="T11" s="950" t="s">
        <v>362</v>
      </c>
      <c r="U11" s="950" t="s">
        <v>362</v>
      </c>
      <c r="V11" s="950" t="s">
        <v>362</v>
      </c>
      <c r="W11" s="950" t="s">
        <v>362</v>
      </c>
      <c r="X11" s="950" t="s">
        <v>362</v>
      </c>
      <c r="Y11" s="950" t="s">
        <v>362</v>
      </c>
      <c r="Z11" s="950" t="s">
        <v>362</v>
      </c>
      <c r="AA11" s="950" t="s">
        <v>362</v>
      </c>
      <c r="AB11" s="950" t="s">
        <v>362</v>
      </c>
      <c r="AC11" s="950" t="s">
        <v>362</v>
      </c>
      <c r="AD11" s="950" t="s">
        <v>362</v>
      </c>
      <c r="AE11" s="950" t="s">
        <v>362</v>
      </c>
      <c r="AF11" s="950" t="s">
        <v>362</v>
      </c>
      <c r="AG11" s="950" t="s">
        <v>362</v>
      </c>
      <c r="AH11" s="950" t="s">
        <v>362</v>
      </c>
      <c r="AI11" s="950" t="s">
        <v>362</v>
      </c>
      <c r="AJ11" s="950" t="s">
        <v>362</v>
      </c>
      <c r="AK11" s="958"/>
      <c r="AM11" s="937"/>
      <c r="AN11" s="937"/>
      <c r="AO11" s="937"/>
    </row>
    <row r="12" spans="1:41" ht="20.25" customHeight="1" x14ac:dyDescent="0.2">
      <c r="A12" s="949">
        <f>VLOOKUP(D12,EFETIVO!$C$2:$D$223,2,0)</f>
        <v>65</v>
      </c>
      <c r="B12" s="976" t="str">
        <f>VLOOKUP(D12,EFETIVO!$F$2:$G$127,2,0)</f>
        <v>CB EFRAIM</v>
      </c>
      <c r="C12" s="978" t="str">
        <f>VLOOKUP(D12,EFETIVO!$F:$H,3,0)</f>
        <v>CONDUTOR</v>
      </c>
      <c r="D12" s="955">
        <v>3477487</v>
      </c>
      <c r="E12" s="949" t="s">
        <v>214</v>
      </c>
      <c r="F12" s="950"/>
      <c r="G12" s="950"/>
      <c r="H12" s="950"/>
      <c r="I12" s="950"/>
      <c r="J12" s="950"/>
      <c r="K12" s="950"/>
      <c r="L12" s="950"/>
      <c r="M12" s="950"/>
      <c r="N12" s="950"/>
      <c r="O12" s="950"/>
      <c r="P12" s="950"/>
      <c r="Q12" s="950"/>
      <c r="R12" s="950"/>
      <c r="S12" s="950"/>
      <c r="T12" s="950"/>
      <c r="U12" s="950" t="s">
        <v>349</v>
      </c>
      <c r="V12" s="950"/>
      <c r="W12" s="950"/>
      <c r="X12" s="950"/>
      <c r="Y12" s="950"/>
      <c r="Z12" s="950"/>
      <c r="AA12" s="950"/>
      <c r="AB12" s="950"/>
      <c r="AC12" s="950"/>
      <c r="AD12" s="950"/>
      <c r="AE12" s="950"/>
      <c r="AF12" s="950"/>
      <c r="AG12" s="950"/>
      <c r="AH12" s="950"/>
      <c r="AI12" s="950"/>
      <c r="AJ12" s="950"/>
      <c r="AK12" s="957"/>
      <c r="AM12" s="937"/>
      <c r="AN12" s="937"/>
      <c r="AO12" s="937"/>
    </row>
    <row r="13" spans="1:41" ht="20.25" customHeight="1" x14ac:dyDescent="0.2">
      <c r="A13" s="949">
        <f>VLOOKUP(D13,EFETIVO!$C$2:$D$223,2,0)</f>
        <v>67</v>
      </c>
      <c r="B13" s="976" t="str">
        <f>VLOOKUP(D13,EFETIVO!$F$2:$G$127,2,0)</f>
        <v>CB LAUFF</v>
      </c>
      <c r="C13" s="978" t="str">
        <f>VLOOKUP(D13,EFETIVO!$F:$H,3,0)</f>
        <v>CONDUTOR</v>
      </c>
      <c r="D13" s="955">
        <v>3477630</v>
      </c>
      <c r="E13" s="949" t="s">
        <v>214</v>
      </c>
      <c r="F13" s="950"/>
      <c r="G13" s="950"/>
      <c r="H13" s="950"/>
      <c r="I13" s="950"/>
      <c r="J13" s="950"/>
      <c r="K13" s="950"/>
      <c r="L13" s="950"/>
      <c r="M13" s="950"/>
      <c r="N13" s="950"/>
      <c r="O13" s="950"/>
      <c r="P13" s="950"/>
      <c r="Q13" s="950" t="s">
        <v>349</v>
      </c>
      <c r="R13" s="950"/>
      <c r="S13" s="950"/>
      <c r="T13" s="950"/>
      <c r="U13" s="950"/>
      <c r="V13" s="950"/>
      <c r="W13" s="950"/>
      <c r="X13" s="950"/>
      <c r="Y13" s="950"/>
      <c r="Z13" s="950"/>
      <c r="AA13" s="950"/>
      <c r="AB13" s="950"/>
      <c r="AC13" s="950"/>
      <c r="AD13" s="950"/>
      <c r="AE13" s="950"/>
      <c r="AF13" s="950"/>
      <c r="AG13" s="950"/>
      <c r="AH13" s="950"/>
      <c r="AI13" s="950"/>
      <c r="AJ13" s="950"/>
      <c r="AK13" s="951"/>
      <c r="AM13" s="937"/>
      <c r="AN13" s="937"/>
      <c r="AO13" s="937"/>
    </row>
    <row r="14" spans="1:41" ht="20.25" customHeight="1" x14ac:dyDescent="0.2">
      <c r="A14" s="949">
        <f>VLOOKUP(D14,EFETIVO!$C$2:$D$223,2,0)</f>
        <v>70</v>
      </c>
      <c r="B14" s="976" t="str">
        <f>VLOOKUP(D14,EFETIVO!$F$2:$G$127,2,0)</f>
        <v>CB PAGANOTTO</v>
      </c>
      <c r="C14" s="978" t="str">
        <f>VLOOKUP(D14,EFETIVO!$F:$H,3,0)</f>
        <v>CONDUTOR</v>
      </c>
      <c r="D14" s="955">
        <v>3669629</v>
      </c>
      <c r="E14" s="949" t="s">
        <v>214</v>
      </c>
      <c r="F14" s="950"/>
      <c r="G14" s="950"/>
      <c r="H14" s="950"/>
      <c r="I14" s="950"/>
      <c r="J14" s="950"/>
      <c r="K14" s="950"/>
      <c r="L14" s="950"/>
      <c r="M14" s="950" t="s">
        <v>349</v>
      </c>
      <c r="N14" s="950"/>
      <c r="O14" s="950"/>
      <c r="P14" s="950" t="s">
        <v>362</v>
      </c>
      <c r="Q14" s="950" t="s">
        <v>362</v>
      </c>
      <c r="R14" s="950" t="s">
        <v>362</v>
      </c>
      <c r="S14" s="950" t="s">
        <v>362</v>
      </c>
      <c r="T14" s="950" t="s">
        <v>362</v>
      </c>
      <c r="U14" s="950" t="s">
        <v>362</v>
      </c>
      <c r="V14" s="950" t="s">
        <v>362</v>
      </c>
      <c r="W14" s="950" t="s">
        <v>362</v>
      </c>
      <c r="X14" s="950" t="s">
        <v>362</v>
      </c>
      <c r="Y14" s="950" t="s">
        <v>362</v>
      </c>
      <c r="Z14" s="950" t="s">
        <v>362</v>
      </c>
      <c r="AA14" s="950" t="s">
        <v>362</v>
      </c>
      <c r="AB14" s="950" t="s">
        <v>362</v>
      </c>
      <c r="AC14" s="950" t="s">
        <v>362</v>
      </c>
      <c r="AD14" s="950" t="s">
        <v>362</v>
      </c>
      <c r="AE14" s="950" t="s">
        <v>362</v>
      </c>
      <c r="AF14" s="950" t="s">
        <v>362</v>
      </c>
      <c r="AG14" s="950" t="s">
        <v>362</v>
      </c>
      <c r="AH14" s="950" t="s">
        <v>362</v>
      </c>
      <c r="AI14" s="950" t="s">
        <v>362</v>
      </c>
      <c r="AJ14" s="950" t="s">
        <v>362</v>
      </c>
      <c r="AK14" s="958"/>
      <c r="AL14" s="1159"/>
      <c r="AM14" s="1160"/>
      <c r="AN14" s="1160"/>
      <c r="AO14" s="1160"/>
    </row>
    <row r="15" spans="1:41" ht="20.25" customHeight="1" x14ac:dyDescent="0.2">
      <c r="A15" s="949">
        <f>VLOOKUP(D15,EFETIVO!$C$2:$D$223,2,0)</f>
        <v>77</v>
      </c>
      <c r="B15" s="976" t="str">
        <f>VLOOKUP(D15,EFETIVO!$F$2:$G$127,2,0)</f>
        <v>CB VICTOR ASSIS</v>
      </c>
      <c r="C15" s="978" t="str">
        <f>VLOOKUP(D15,EFETIVO!$F:$H,3,0)</f>
        <v>CONDUTOR</v>
      </c>
      <c r="D15" s="955">
        <v>4151178</v>
      </c>
      <c r="E15" s="949" t="s">
        <v>214</v>
      </c>
      <c r="F15" s="950"/>
      <c r="G15" s="950"/>
      <c r="H15" s="950"/>
      <c r="I15" s="950"/>
      <c r="J15" s="950"/>
      <c r="K15" s="950"/>
      <c r="L15" s="950"/>
      <c r="M15" s="950"/>
      <c r="N15" s="950"/>
      <c r="O15" s="950"/>
      <c r="P15" s="950"/>
      <c r="Q15" s="950"/>
      <c r="R15" s="950"/>
      <c r="S15" s="950"/>
      <c r="T15" s="950"/>
      <c r="U15" s="950"/>
      <c r="V15" s="950"/>
      <c r="W15" s="950"/>
      <c r="X15" s="950"/>
      <c r="Y15" s="950"/>
      <c r="Z15" s="950"/>
      <c r="AA15" s="950"/>
      <c r="AB15" s="950"/>
      <c r="AC15" s="950"/>
      <c r="AD15" s="950"/>
      <c r="AE15" s="950"/>
      <c r="AF15" s="950"/>
      <c r="AG15" s="950" t="s">
        <v>350</v>
      </c>
      <c r="AH15" s="950"/>
      <c r="AI15" s="950"/>
      <c r="AJ15" s="950"/>
      <c r="AK15" s="957"/>
      <c r="AL15" s="968"/>
      <c r="AM15" s="968"/>
      <c r="AN15" s="968"/>
      <c r="AO15" s="968"/>
    </row>
    <row r="16" spans="1:41" ht="20.25" customHeight="1" x14ac:dyDescent="0.2">
      <c r="A16" s="949">
        <f>VLOOKUP(D16,EFETIVO!$C$2:$D$223,2,0)</f>
        <v>87</v>
      </c>
      <c r="B16" s="976" t="str">
        <f>VLOOKUP(D16,EFETIVO!$F$2:$G$127,2,0)</f>
        <v>CB PARADIZO</v>
      </c>
      <c r="C16" s="978" t="str">
        <f>VLOOKUP(D16,EFETIVO!$F:$H,3,0)</f>
        <v>CONDUTOR</v>
      </c>
      <c r="D16" s="955">
        <v>4152441</v>
      </c>
      <c r="E16" s="949" t="s">
        <v>214</v>
      </c>
      <c r="F16" s="950" t="s">
        <v>228</v>
      </c>
      <c r="G16" s="950" t="s">
        <v>228</v>
      </c>
      <c r="H16" s="950" t="s">
        <v>228</v>
      </c>
      <c r="I16" s="950" t="s">
        <v>228</v>
      </c>
      <c r="J16" s="950" t="s">
        <v>228</v>
      </c>
      <c r="K16" s="950" t="s">
        <v>228</v>
      </c>
      <c r="L16" s="950" t="s">
        <v>228</v>
      </c>
      <c r="M16" s="950" t="s">
        <v>228</v>
      </c>
      <c r="N16" s="950" t="s">
        <v>228</v>
      </c>
      <c r="O16" s="950" t="s">
        <v>228</v>
      </c>
      <c r="P16" s="950" t="s">
        <v>228</v>
      </c>
      <c r="Q16" s="950" t="s">
        <v>228</v>
      </c>
      <c r="R16" s="950" t="s">
        <v>228</v>
      </c>
      <c r="S16" s="950" t="s">
        <v>228</v>
      </c>
      <c r="T16" s="950" t="s">
        <v>228</v>
      </c>
      <c r="U16" s="950"/>
      <c r="V16" s="950"/>
      <c r="W16" s="950"/>
      <c r="X16" s="950"/>
      <c r="Y16" s="950"/>
      <c r="Z16" s="950"/>
      <c r="AA16" s="950"/>
      <c r="AB16" s="950"/>
      <c r="AC16" s="950"/>
      <c r="AD16" s="950"/>
      <c r="AE16" s="950"/>
      <c r="AF16" s="950"/>
      <c r="AG16" s="950"/>
      <c r="AH16" s="950"/>
      <c r="AI16" s="950"/>
      <c r="AJ16" s="962"/>
      <c r="AK16" s="951"/>
      <c r="AL16" s="968"/>
      <c r="AM16" s="968"/>
      <c r="AN16" s="968"/>
      <c r="AO16" s="968"/>
    </row>
    <row r="17" spans="1:45" ht="20.25" customHeight="1" x14ac:dyDescent="0.2">
      <c r="A17" s="949">
        <f>VLOOKUP(D17,EFETIVO!$C$2:$D$223,2,0)</f>
        <v>91</v>
      </c>
      <c r="B17" s="976" t="str">
        <f>VLOOKUP(D17,EFETIVO!$F$2:$G$127,2,0)</f>
        <v>CB LUCIANO</v>
      </c>
      <c r="C17" s="978" t="str">
        <f>VLOOKUP(D17,EFETIVO!$F:$H,3,0)</f>
        <v>OPERADOR D</v>
      </c>
      <c r="D17" s="955">
        <v>3865410</v>
      </c>
      <c r="E17" s="949" t="s">
        <v>214</v>
      </c>
      <c r="F17" s="950"/>
      <c r="G17" s="950"/>
      <c r="H17" s="950"/>
      <c r="I17" s="950"/>
      <c r="J17" s="950"/>
      <c r="K17" s="950"/>
      <c r="L17" s="950"/>
      <c r="M17" s="950"/>
      <c r="N17" s="950"/>
      <c r="O17" s="950"/>
      <c r="P17" s="950"/>
      <c r="Q17" s="950"/>
      <c r="R17" s="950"/>
      <c r="S17" s="950"/>
      <c r="T17" s="950"/>
      <c r="U17" s="950"/>
      <c r="V17" s="950"/>
      <c r="W17" s="950"/>
      <c r="X17" s="950"/>
      <c r="Y17" s="950" t="s">
        <v>350</v>
      </c>
      <c r="Z17" s="950"/>
      <c r="AA17" s="950"/>
      <c r="AB17" s="950"/>
      <c r="AC17" s="950"/>
      <c r="AD17" s="950"/>
      <c r="AE17" s="950"/>
      <c r="AF17" s="950"/>
      <c r="AG17" s="950"/>
      <c r="AH17" s="962"/>
      <c r="AI17" s="962"/>
      <c r="AJ17" s="962"/>
      <c r="AK17" s="958"/>
      <c r="AL17" s="968"/>
      <c r="AM17" s="968"/>
      <c r="AN17" s="968"/>
      <c r="AO17" s="968"/>
    </row>
    <row r="18" spans="1:45" ht="20.25" customHeight="1" x14ac:dyDescent="0.2">
      <c r="A18" s="949">
        <f>VLOOKUP(D18,EFETIVO!$C$2:$D$223,2,0)</f>
        <v>100</v>
      </c>
      <c r="B18" s="976" t="str">
        <f>VLOOKUP(D18,EFETIVO!$F$2:$G$127,2,0)</f>
        <v>SD ROSARIO</v>
      </c>
      <c r="C18" s="978" t="str">
        <f>VLOOKUP(D18,EFETIVO!$F:$H,3,0)</f>
        <v>OPERADOR</v>
      </c>
      <c r="D18" s="955">
        <v>4749430</v>
      </c>
      <c r="E18" s="949" t="s">
        <v>214</v>
      </c>
      <c r="F18" s="950"/>
      <c r="G18" s="950"/>
      <c r="H18" s="950"/>
      <c r="I18" s="950"/>
      <c r="J18" s="950"/>
      <c r="K18" s="950"/>
      <c r="L18" s="950"/>
      <c r="M18" s="950"/>
      <c r="N18" s="950"/>
      <c r="O18" s="950"/>
      <c r="P18" s="950"/>
      <c r="Q18" s="950" t="s">
        <v>350</v>
      </c>
      <c r="R18" s="950"/>
      <c r="S18" s="950"/>
      <c r="T18" s="950"/>
      <c r="U18" s="950"/>
      <c r="V18" s="950"/>
      <c r="W18" s="950"/>
      <c r="X18" s="950"/>
      <c r="Y18" s="950"/>
      <c r="Z18" s="950"/>
      <c r="AA18" s="950"/>
      <c r="AB18" s="950"/>
      <c r="AC18" s="950"/>
      <c r="AD18" s="950"/>
      <c r="AE18" s="950"/>
      <c r="AF18" s="950"/>
      <c r="AG18" s="950"/>
      <c r="AH18" s="950"/>
      <c r="AI18" s="950"/>
      <c r="AJ18" s="950"/>
      <c r="AK18" s="956"/>
      <c r="AM18" s="937"/>
      <c r="AN18" s="937"/>
      <c r="AO18" s="937"/>
    </row>
    <row r="19" spans="1:45" ht="20.25" customHeight="1" x14ac:dyDescent="0.2">
      <c r="A19" s="949">
        <f>VLOOKUP(D19,EFETIVO!$C$2:$D$223,2,0)</f>
        <v>106</v>
      </c>
      <c r="B19" s="976" t="str">
        <f>VLOOKUP(D19,EFETIVO!$F$2:$G$127,2,0)</f>
        <v>SD BEN-HUR</v>
      </c>
      <c r="C19" s="978" t="str">
        <f>VLOOKUP(D19,EFETIVO!$F:$H,3,0)</f>
        <v>OPERADOR</v>
      </c>
      <c r="D19" s="955">
        <v>4757122</v>
      </c>
      <c r="E19" s="949" t="s">
        <v>214</v>
      </c>
      <c r="F19" s="950"/>
      <c r="G19" s="950"/>
      <c r="H19" s="950"/>
      <c r="I19" s="950"/>
      <c r="J19" s="950"/>
      <c r="K19" s="962"/>
      <c r="L19" s="950"/>
      <c r="M19" s="950" t="s">
        <v>350</v>
      </c>
      <c r="N19" s="950"/>
      <c r="O19" s="950"/>
      <c r="P19" s="950"/>
      <c r="Q19" s="950"/>
      <c r="R19" s="950"/>
      <c r="S19" s="950"/>
      <c r="T19" s="950"/>
      <c r="U19" s="950"/>
      <c r="V19" s="950"/>
      <c r="W19" s="950"/>
      <c r="X19" s="950"/>
      <c r="Y19" s="950"/>
      <c r="Z19" s="950"/>
      <c r="AA19" s="950"/>
      <c r="AB19" s="950"/>
      <c r="AC19" s="950"/>
      <c r="AD19" s="950"/>
      <c r="AE19" s="950"/>
      <c r="AF19" s="950"/>
      <c r="AG19" s="950"/>
      <c r="AH19" s="950"/>
      <c r="AI19" s="950"/>
      <c r="AJ19" s="962"/>
      <c r="AK19" s="956"/>
      <c r="AM19" s="937"/>
      <c r="AN19" s="937"/>
      <c r="AO19" s="937"/>
    </row>
    <row r="20" spans="1:45" ht="20.25" customHeight="1" x14ac:dyDescent="0.2">
      <c r="A20" s="949">
        <f>VLOOKUP(D20,EFETIVO!$C$2:$D$223,2,0)</f>
        <v>27</v>
      </c>
      <c r="B20" s="976" t="str">
        <f>VLOOKUP(D20,EFETIVO!$F$2:$G$127,2,0)</f>
        <v>2ºSGT MARIANE</v>
      </c>
      <c r="C20" s="978" t="str">
        <f>VLOOKUP(D20,EFETIVO!$F:$H,3,0)</f>
        <v>CHEFE</v>
      </c>
      <c r="D20" s="955">
        <v>2984946</v>
      </c>
      <c r="E20" s="1019" t="s">
        <v>215</v>
      </c>
      <c r="F20" s="950" t="s">
        <v>349</v>
      </c>
      <c r="G20" s="950"/>
      <c r="H20" s="950"/>
      <c r="I20" s="950"/>
      <c r="J20" s="950"/>
      <c r="K20" s="950"/>
      <c r="L20" s="950"/>
      <c r="M20" s="950"/>
      <c r="N20" s="950"/>
      <c r="O20" s="950"/>
      <c r="P20" s="950"/>
      <c r="Q20" s="950"/>
      <c r="R20" s="950"/>
      <c r="S20" s="950"/>
      <c r="T20" s="950"/>
      <c r="U20" s="950"/>
      <c r="V20" s="950"/>
      <c r="W20" s="950"/>
      <c r="X20" s="950"/>
      <c r="Y20" s="950"/>
      <c r="Z20" s="950"/>
      <c r="AA20" s="950"/>
      <c r="AB20" s="950"/>
      <c r="AC20" s="950"/>
      <c r="AD20" s="950"/>
      <c r="AE20" s="950"/>
      <c r="AF20" s="950"/>
      <c r="AG20" s="950"/>
      <c r="AH20" s="962"/>
      <c r="AI20" s="962"/>
      <c r="AJ20" s="962"/>
      <c r="AK20" s="957"/>
      <c r="AM20" s="937"/>
      <c r="AN20" s="937"/>
      <c r="AO20" s="937"/>
    </row>
    <row r="21" spans="1:45" ht="19.5" customHeight="1" x14ac:dyDescent="0.2">
      <c r="A21" s="949">
        <f>VLOOKUP(D21,EFETIVO!$C$2:$D$223,2,0)</f>
        <v>30</v>
      </c>
      <c r="B21" s="976" t="str">
        <f>VLOOKUP(D21,EFETIVO!$F$2:$G$127,2,0)</f>
        <v>2ºSGT JARDEL</v>
      </c>
      <c r="C21" s="978" t="str">
        <f>VLOOKUP(D21,EFETIVO!$F:$H,3,0)</f>
        <v>CHEFE</v>
      </c>
      <c r="D21" s="955">
        <v>2967316</v>
      </c>
      <c r="E21" s="949" t="s">
        <v>215</v>
      </c>
      <c r="F21" s="950"/>
      <c r="G21" s="950"/>
      <c r="H21" s="950"/>
      <c r="I21" s="950"/>
      <c r="J21" s="950" t="s">
        <v>349</v>
      </c>
      <c r="K21" s="950"/>
      <c r="L21" s="950"/>
      <c r="M21" s="950"/>
      <c r="N21" s="950"/>
      <c r="O21" s="950"/>
      <c r="P21" s="950"/>
      <c r="Q21" s="950"/>
      <c r="R21" s="950"/>
      <c r="S21" s="950"/>
      <c r="T21" s="950"/>
      <c r="U21" s="950"/>
      <c r="V21" s="950"/>
      <c r="W21" s="950"/>
      <c r="X21" s="950"/>
      <c r="Y21" s="950"/>
      <c r="Z21" s="950"/>
      <c r="AA21" s="950"/>
      <c r="AB21" s="950"/>
      <c r="AC21" s="950"/>
      <c r="AD21" s="950"/>
      <c r="AE21" s="950"/>
      <c r="AF21" s="950"/>
      <c r="AG21" s="950"/>
      <c r="AH21" s="962"/>
      <c r="AI21" s="962"/>
      <c r="AJ21" s="962"/>
      <c r="AK21" s="951"/>
      <c r="AM21" s="937"/>
      <c r="AN21" s="937"/>
      <c r="AO21" s="937"/>
    </row>
    <row r="22" spans="1:45" ht="20.25" customHeight="1" x14ac:dyDescent="0.2">
      <c r="A22" s="949">
        <f>VLOOKUP(D22,EFETIVO!$C$2:$D$223,2,0)</f>
        <v>39</v>
      </c>
      <c r="B22" s="976" t="str">
        <f>VLOOKUP(D22,EFETIVO!$F$2:$G$127,2,0)</f>
        <v>3º SGT BRUNO MELO</v>
      </c>
      <c r="C22" s="978" t="str">
        <f>VLOOKUP(D22,EFETIVO!$F:$H,3,0)</f>
        <v>CHEFE</v>
      </c>
      <c r="D22" s="955">
        <v>3022269</v>
      </c>
      <c r="E22" s="1018" t="s">
        <v>215</v>
      </c>
      <c r="F22" s="950"/>
      <c r="G22" s="950"/>
      <c r="H22" s="950"/>
      <c r="I22" s="950"/>
      <c r="J22" s="950"/>
      <c r="K22" s="950"/>
      <c r="L22" s="950"/>
      <c r="M22" s="950"/>
      <c r="N22" s="950" t="s">
        <v>349</v>
      </c>
      <c r="O22" s="950"/>
      <c r="P22" s="950"/>
      <c r="Q22" s="950"/>
      <c r="R22" s="950"/>
      <c r="S22" s="950"/>
      <c r="T22" s="950"/>
      <c r="U22" s="950"/>
      <c r="V22" s="962"/>
      <c r="W22" s="950"/>
      <c r="X22" s="950"/>
      <c r="Y22" s="950"/>
      <c r="Z22" s="950"/>
      <c r="AA22" s="950"/>
      <c r="AB22" s="950"/>
      <c r="AC22" s="950"/>
      <c r="AD22" s="950"/>
      <c r="AE22" s="950"/>
      <c r="AF22" s="950"/>
      <c r="AG22" s="950"/>
      <c r="AH22" s="962"/>
      <c r="AI22" s="962"/>
      <c r="AJ22" s="962"/>
      <c r="AK22" s="958"/>
      <c r="AM22" s="931"/>
      <c r="AN22" s="931"/>
      <c r="AO22" s="931"/>
      <c r="AP22" s="931"/>
      <c r="AQ22" s="931"/>
      <c r="AR22" s="931"/>
      <c r="AS22" s="931"/>
    </row>
    <row r="23" spans="1:45" ht="20.25" customHeight="1" x14ac:dyDescent="0.2">
      <c r="A23" s="949">
        <f>VLOOKUP(D23,EFETIVO!$C$2:$D$223,2,0)</f>
        <v>48</v>
      </c>
      <c r="B23" s="976" t="str">
        <f>VLOOKUP(D23,EFETIVO!$F$2:$G$127,2,0)</f>
        <v>CB ANDRÉ LUIS</v>
      </c>
      <c r="C23" s="978" t="str">
        <f>VLOOKUP(D23,EFETIVO!$F:$H,3,0)</f>
        <v>CONDUTOR</v>
      </c>
      <c r="D23" s="955">
        <v>3037657</v>
      </c>
      <c r="E23" s="953" t="s">
        <v>215</v>
      </c>
      <c r="F23" s="950"/>
      <c r="G23" s="950"/>
      <c r="H23" s="950"/>
      <c r="I23" s="950"/>
      <c r="J23" s="950"/>
      <c r="K23" s="950"/>
      <c r="L23" s="950"/>
      <c r="M23" s="950"/>
      <c r="N23" s="950"/>
      <c r="O23" s="950"/>
      <c r="P23" s="950"/>
      <c r="Q23" s="950"/>
      <c r="R23" s="950" t="s">
        <v>349</v>
      </c>
      <c r="S23" s="950"/>
      <c r="T23" s="950"/>
      <c r="U23" s="950"/>
      <c r="V23" s="950"/>
      <c r="W23" s="950"/>
      <c r="X23" s="950"/>
      <c r="Y23" s="950"/>
      <c r="Z23" s="950"/>
      <c r="AA23" s="950"/>
      <c r="AB23" s="950"/>
      <c r="AC23" s="950"/>
      <c r="AD23" s="950"/>
      <c r="AE23" s="950"/>
      <c r="AF23" s="950"/>
      <c r="AG23" s="950"/>
      <c r="AH23" s="962"/>
      <c r="AI23" s="962"/>
      <c r="AJ23" s="962"/>
      <c r="AK23" s="958"/>
    </row>
    <row r="24" spans="1:45" ht="20.25" customHeight="1" x14ac:dyDescent="0.2">
      <c r="A24" s="949">
        <f>VLOOKUP(D24,EFETIVO!$C$2:$D$223,2,0)</f>
        <v>51</v>
      </c>
      <c r="B24" s="976" t="str">
        <f>VLOOKUP(D24,EFETIVO!$F$2:$G$127,2,0)</f>
        <v>CB RÔMULO</v>
      </c>
      <c r="C24" s="978" t="str">
        <f>VLOOKUP(D24,EFETIVO!$F:$H,3,0)</f>
        <v>CONDUTOR B</v>
      </c>
      <c r="D24" s="955">
        <v>3068412</v>
      </c>
      <c r="E24" s="949" t="s">
        <v>215</v>
      </c>
      <c r="F24" s="950"/>
      <c r="G24" s="950"/>
      <c r="H24" s="950"/>
      <c r="I24" s="950"/>
      <c r="J24" s="950"/>
      <c r="K24" s="950"/>
      <c r="L24" s="950"/>
      <c r="M24" s="950"/>
      <c r="N24" s="950"/>
      <c r="O24" s="950"/>
      <c r="P24" s="950"/>
      <c r="Q24" s="950"/>
      <c r="R24" s="950"/>
      <c r="S24" s="950"/>
      <c r="T24" s="950"/>
      <c r="U24" s="950"/>
      <c r="V24" s="950"/>
      <c r="W24" s="950"/>
      <c r="X24" s="950"/>
      <c r="Y24" s="950"/>
      <c r="Z24" s="950" t="s">
        <v>349</v>
      </c>
      <c r="AA24" s="950"/>
      <c r="AB24" s="950"/>
      <c r="AC24" s="950"/>
      <c r="AD24" s="950"/>
      <c r="AE24" s="950"/>
      <c r="AF24" s="950"/>
      <c r="AG24" s="950"/>
      <c r="AH24" s="950"/>
      <c r="AI24" s="950"/>
      <c r="AJ24" s="950"/>
      <c r="AK24" s="951"/>
    </row>
    <row r="25" spans="1:45" ht="20.25" customHeight="1" x14ac:dyDescent="0.2">
      <c r="A25" s="949">
        <f>VLOOKUP(D25,EFETIVO!$C$2:$D$223,2,0)</f>
        <v>63</v>
      </c>
      <c r="B25" s="976" t="str">
        <f>VLOOKUP(D25,EFETIVO!$F$2:$G$127,2,0)</f>
        <v>CB ELSON</v>
      </c>
      <c r="C25" s="978" t="str">
        <f>VLOOKUP(D25,EFETIVO!$F:$H,3,0)</f>
        <v>CONDUTOR</v>
      </c>
      <c r="D25" s="955">
        <v>3369986</v>
      </c>
      <c r="E25" s="949" t="s">
        <v>215</v>
      </c>
      <c r="F25" s="950"/>
      <c r="G25" s="950"/>
      <c r="H25" s="950"/>
      <c r="I25" s="950"/>
      <c r="J25" s="950"/>
      <c r="K25" s="950"/>
      <c r="L25" s="950"/>
      <c r="M25" s="950"/>
      <c r="N25" s="950"/>
      <c r="O25" s="950"/>
      <c r="P25" s="950"/>
      <c r="Q25" s="950"/>
      <c r="R25" s="950"/>
      <c r="S25" s="950"/>
      <c r="T25" s="950"/>
      <c r="U25" s="950"/>
      <c r="V25" s="950"/>
      <c r="W25" s="950"/>
      <c r="X25" s="950"/>
      <c r="Y25" s="950"/>
      <c r="Z25" s="950"/>
      <c r="AA25" s="950"/>
      <c r="AB25" s="950"/>
      <c r="AC25" s="950"/>
      <c r="AD25" s="950" t="s">
        <v>349</v>
      </c>
      <c r="AE25" s="950"/>
      <c r="AF25" s="950"/>
      <c r="AG25" s="950"/>
      <c r="AH25" s="962"/>
      <c r="AI25" s="962"/>
      <c r="AJ25" s="962"/>
      <c r="AK25" s="958"/>
      <c r="AM25" s="931"/>
    </row>
    <row r="26" spans="1:45" ht="20.25" customHeight="1" x14ac:dyDescent="0.2">
      <c r="A26" s="949">
        <f>VLOOKUP(D26,EFETIVO!$C$2:$D$223,2,0)</f>
        <v>74</v>
      </c>
      <c r="B26" s="976" t="str">
        <f>VLOOKUP(D26,EFETIVO!$F$2:$G$127,2,0)</f>
        <v>CB CUPERTINO</v>
      </c>
      <c r="C26" s="978" t="str">
        <f>VLOOKUP(D26,EFETIVO!$F:$H,3,0)</f>
        <v>CONDUTOR</v>
      </c>
      <c r="D26" s="955">
        <v>3427609</v>
      </c>
      <c r="E26" s="949" t="s">
        <v>215</v>
      </c>
      <c r="F26" s="950"/>
      <c r="G26" s="950"/>
      <c r="H26" s="950"/>
      <c r="I26" s="950"/>
      <c r="J26" s="950"/>
      <c r="K26" s="950"/>
      <c r="L26" s="950"/>
      <c r="M26" s="950"/>
      <c r="N26" s="950"/>
      <c r="O26" s="950"/>
      <c r="P26" s="950"/>
      <c r="Q26" s="950"/>
      <c r="R26" s="950"/>
      <c r="S26" s="950"/>
      <c r="T26" s="950"/>
      <c r="U26" s="950"/>
      <c r="V26" s="950"/>
      <c r="W26" s="950"/>
      <c r="X26" s="950"/>
      <c r="Y26" s="950"/>
      <c r="Z26" s="950"/>
      <c r="AA26" s="950"/>
      <c r="AB26" s="950"/>
      <c r="AC26" s="950"/>
      <c r="AD26" s="950"/>
      <c r="AE26" s="950"/>
      <c r="AF26" s="950"/>
      <c r="AG26" s="950"/>
      <c r="AH26" s="950"/>
      <c r="AI26" s="950"/>
      <c r="AJ26" s="950"/>
      <c r="AK26" s="1017" t="s">
        <v>293</v>
      </c>
    </row>
    <row r="27" spans="1:45" ht="20.25" customHeight="1" x14ac:dyDescent="0.2">
      <c r="A27" s="949">
        <f>VLOOKUP(D27,EFETIVO!$C$2:$D$223,2,0)</f>
        <v>79</v>
      </c>
      <c r="B27" s="976" t="str">
        <f>VLOOKUP(D27,EFETIVO!$F$2:$G$127,2,0)</f>
        <v>CB BERGI</v>
      </c>
      <c r="C27" s="978" t="str">
        <f>VLOOKUP(D27,EFETIVO!$F:$H,3,0)</f>
        <v>CONDUTOR</v>
      </c>
      <c r="D27" s="955">
        <v>4152409</v>
      </c>
      <c r="E27" s="949" t="s">
        <v>215</v>
      </c>
      <c r="F27" s="950"/>
      <c r="G27" s="950"/>
      <c r="H27" s="950"/>
      <c r="I27" s="950"/>
      <c r="J27" s="950"/>
      <c r="K27" s="950"/>
      <c r="L27" s="950"/>
      <c r="M27" s="950"/>
      <c r="N27" s="950"/>
      <c r="O27" s="950"/>
      <c r="P27" s="950"/>
      <c r="Q27" s="950"/>
      <c r="R27" s="950" t="s">
        <v>349</v>
      </c>
      <c r="S27" s="950"/>
      <c r="T27" s="950"/>
      <c r="U27" s="950"/>
      <c r="V27" s="950"/>
      <c r="W27" s="950"/>
      <c r="X27" s="950"/>
      <c r="Y27" s="950"/>
      <c r="Z27" s="950"/>
      <c r="AA27" s="950"/>
      <c r="AB27" s="950"/>
      <c r="AC27" s="950"/>
      <c r="AD27" s="950"/>
      <c r="AE27" s="950"/>
      <c r="AF27" s="950"/>
      <c r="AG27" s="950"/>
      <c r="AH27" s="950"/>
      <c r="AI27" s="950"/>
      <c r="AJ27" s="962"/>
      <c r="AK27" s="952"/>
    </row>
    <row r="28" spans="1:45" ht="20.25" customHeight="1" x14ac:dyDescent="0.2">
      <c r="A28" s="949">
        <f>VLOOKUP(D28,EFETIVO!$C$2:$D$223,2,0)</f>
        <v>84</v>
      </c>
      <c r="B28" s="976" t="str">
        <f>VLOOKUP(D28,EFETIVO!$F$2:$G$127,2,0)</f>
        <v>CB HENRIQUE LOPES</v>
      </c>
      <c r="C28" s="978" t="str">
        <f>VLOOKUP(D28,EFETIVO!$F:$H,3,0)</f>
        <v>CONDUTOR</v>
      </c>
      <c r="D28" s="955">
        <v>4151364</v>
      </c>
      <c r="E28" s="949" t="s">
        <v>215</v>
      </c>
      <c r="F28" s="950"/>
      <c r="G28" s="950"/>
      <c r="H28" s="950"/>
      <c r="I28" s="950"/>
      <c r="J28" s="950"/>
      <c r="K28" s="950"/>
      <c r="L28" s="950"/>
      <c r="M28" s="950"/>
      <c r="N28" s="950"/>
      <c r="O28" s="950"/>
      <c r="P28" s="950"/>
      <c r="Q28" s="950"/>
      <c r="R28" s="950"/>
      <c r="S28" s="950"/>
      <c r="T28" s="950"/>
      <c r="U28" s="950"/>
      <c r="V28" s="950" t="s">
        <v>349</v>
      </c>
      <c r="W28" s="950"/>
      <c r="X28" s="950"/>
      <c r="Y28" s="950"/>
      <c r="Z28" s="950"/>
      <c r="AA28" s="950"/>
      <c r="AB28" s="950"/>
      <c r="AC28" s="950"/>
      <c r="AD28" s="950"/>
      <c r="AE28" s="950"/>
      <c r="AF28" s="950"/>
      <c r="AG28" s="950"/>
      <c r="AH28" s="962"/>
      <c r="AI28" s="962"/>
      <c r="AJ28" s="962"/>
      <c r="AK28" s="933" t="s">
        <v>326</v>
      </c>
    </row>
    <row r="29" spans="1:45" ht="20.25" customHeight="1" x14ac:dyDescent="0.2">
      <c r="A29" s="949">
        <f>VLOOKUP(D29,EFETIVO!$C$2:$D$223,2,0)</f>
        <v>97</v>
      </c>
      <c r="B29" s="976" t="str">
        <f>VLOOKUP(D29,EFETIVO!$F$2:$G$127,2,0)</f>
        <v>SD EMMANOEL</v>
      </c>
      <c r="C29" s="978" t="str">
        <f>VLOOKUP(D29,EFETIVO!$F:$H,3,0)</f>
        <v>OPERADOR</v>
      </c>
      <c r="D29" s="955">
        <v>4749367</v>
      </c>
      <c r="E29" s="949" t="s">
        <v>215</v>
      </c>
      <c r="F29" s="950"/>
      <c r="G29" s="950"/>
      <c r="H29" s="950"/>
      <c r="I29" s="950"/>
      <c r="J29" s="950"/>
      <c r="K29" s="950"/>
      <c r="L29" s="950"/>
      <c r="M29" s="950"/>
      <c r="N29" s="950"/>
      <c r="O29" s="950"/>
      <c r="P29" s="950"/>
      <c r="Q29" s="950"/>
      <c r="R29" s="950" t="s">
        <v>350</v>
      </c>
      <c r="S29" s="950"/>
      <c r="T29" s="950"/>
      <c r="U29" s="950"/>
      <c r="V29" s="950"/>
      <c r="W29" s="950"/>
      <c r="X29" s="950"/>
      <c r="Y29" s="950"/>
      <c r="Z29" s="950"/>
      <c r="AA29" s="950"/>
      <c r="AB29" s="950"/>
      <c r="AC29" s="950"/>
      <c r="AD29" s="950"/>
      <c r="AE29" s="950"/>
      <c r="AF29" s="950"/>
      <c r="AG29" s="950"/>
      <c r="AH29" s="962"/>
      <c r="AI29" s="962"/>
      <c r="AJ29" s="962"/>
      <c r="AK29" s="958"/>
    </row>
    <row r="30" spans="1:45" ht="20.25" customHeight="1" x14ac:dyDescent="0.2">
      <c r="A30" s="949">
        <f>VLOOKUP(D30,EFETIVO!$C$2:$D$223,2,0)</f>
        <v>108</v>
      </c>
      <c r="B30" s="976" t="str">
        <f>VLOOKUP(D30,EFETIVO!$F$2:$G$127,2,0)</f>
        <v>SD BORBA</v>
      </c>
      <c r="C30" s="978" t="str">
        <f>VLOOKUP(D30,EFETIVO!$F:$H,3,0)</f>
        <v>OPERADOR</v>
      </c>
      <c r="D30" s="955">
        <v>4750667</v>
      </c>
      <c r="E30" s="949" t="s">
        <v>215</v>
      </c>
      <c r="F30" s="950" t="s">
        <v>228</v>
      </c>
      <c r="G30" s="950" t="s">
        <v>228</v>
      </c>
      <c r="H30" s="950" t="s">
        <v>228</v>
      </c>
      <c r="I30" s="950" t="s">
        <v>228</v>
      </c>
      <c r="J30" s="950" t="s">
        <v>228</v>
      </c>
      <c r="K30" s="950" t="s">
        <v>228</v>
      </c>
      <c r="L30" s="950" t="s">
        <v>228</v>
      </c>
      <c r="M30" s="950" t="s">
        <v>228</v>
      </c>
      <c r="N30" s="950" t="s">
        <v>228</v>
      </c>
      <c r="O30" s="950" t="s">
        <v>228</v>
      </c>
      <c r="P30" s="950" t="s">
        <v>228</v>
      </c>
      <c r="Q30" s="950" t="s">
        <v>228</v>
      </c>
      <c r="R30" s="950" t="s">
        <v>228</v>
      </c>
      <c r="S30" s="950" t="s">
        <v>228</v>
      </c>
      <c r="T30" s="950" t="s">
        <v>228</v>
      </c>
      <c r="U30" s="950"/>
      <c r="V30" s="950"/>
      <c r="W30" s="950"/>
      <c r="X30" s="950"/>
      <c r="Y30" s="950"/>
      <c r="Z30" s="950"/>
      <c r="AA30" s="950"/>
      <c r="AB30" s="950"/>
      <c r="AC30" s="950"/>
      <c r="AD30" s="950"/>
      <c r="AE30" s="950"/>
      <c r="AF30" s="950"/>
      <c r="AG30" s="950"/>
      <c r="AH30" s="950" t="s">
        <v>349</v>
      </c>
      <c r="AI30" s="950"/>
      <c r="AJ30" s="962"/>
      <c r="AK30" s="951"/>
      <c r="AM30" s="931"/>
      <c r="AN30" s="931"/>
      <c r="AO30" s="931"/>
    </row>
    <row r="31" spans="1:45" ht="20.25" customHeight="1" x14ac:dyDescent="0.2">
      <c r="A31" s="949">
        <f>VLOOKUP(D31,EFETIVO!$C$2:$D$223,2,0)</f>
        <v>109</v>
      </c>
      <c r="B31" s="976" t="str">
        <f>VLOOKUP(D31,EFETIVO!$F$2:$G$127,2,0)</f>
        <v>SD CAUÊ LYRA</v>
      </c>
      <c r="C31" s="978" t="str">
        <f>VLOOKUP(D31,EFETIVO!$F:$H,3,0)</f>
        <v>OPERADOR</v>
      </c>
      <c r="D31" s="955">
        <v>4750713</v>
      </c>
      <c r="E31" s="949" t="s">
        <v>215</v>
      </c>
      <c r="F31" s="950"/>
      <c r="G31" s="950"/>
      <c r="H31" s="950"/>
      <c r="I31" s="950"/>
      <c r="J31" s="950" t="s">
        <v>350</v>
      </c>
      <c r="K31" s="950"/>
      <c r="L31" s="950"/>
      <c r="M31" s="950"/>
      <c r="N31" s="950"/>
      <c r="O31" s="950"/>
      <c r="P31" s="950"/>
      <c r="Q31" s="950"/>
      <c r="R31" s="950"/>
      <c r="S31" s="950"/>
      <c r="T31" s="950"/>
      <c r="U31" s="950"/>
      <c r="V31" s="950"/>
      <c r="W31" s="950"/>
      <c r="X31" s="950"/>
      <c r="Y31" s="950"/>
      <c r="Z31" s="950"/>
      <c r="AA31" s="950"/>
      <c r="AB31" s="950"/>
      <c r="AC31" s="950"/>
      <c r="AD31" s="950"/>
      <c r="AE31" s="950"/>
      <c r="AF31" s="950"/>
      <c r="AG31" s="950"/>
      <c r="AH31" s="962"/>
      <c r="AI31" s="962"/>
      <c r="AJ31" s="962"/>
      <c r="AK31" s="957"/>
      <c r="AM31" s="930"/>
      <c r="AN31" s="930"/>
      <c r="AO31" s="930"/>
    </row>
    <row r="32" spans="1:45" ht="20.25" customHeight="1" x14ac:dyDescent="0.2">
      <c r="A32" s="949">
        <f>VLOOKUP(D32,EFETIVO!$C$2:$D$223,2,0)</f>
        <v>25</v>
      </c>
      <c r="B32" s="976" t="str">
        <f>VLOOKUP(D32,EFETIVO!$F$2:$G$127,2,0)</f>
        <v>2ºSGT HOFFMAM</v>
      </c>
      <c r="C32" s="978" t="str">
        <f>VLOOKUP(D32,EFETIVO!$F:$H,3,0)</f>
        <v>CHEFE</v>
      </c>
      <c r="D32" s="1032">
        <v>2778262</v>
      </c>
      <c r="E32" s="949" t="s">
        <v>216</v>
      </c>
      <c r="F32" s="950"/>
      <c r="G32" s="950"/>
      <c r="H32" s="950"/>
      <c r="I32" s="950"/>
      <c r="J32" s="950"/>
      <c r="K32" s="950" t="s">
        <v>349</v>
      </c>
      <c r="L32" s="950"/>
      <c r="M32" s="950"/>
      <c r="N32" s="950"/>
      <c r="O32" s="950"/>
      <c r="P32" s="950"/>
      <c r="Q32" s="950"/>
      <c r="R32" s="950"/>
      <c r="S32" s="950"/>
      <c r="T32" s="950"/>
      <c r="U32" s="950"/>
      <c r="V32" s="950"/>
      <c r="W32" s="950"/>
      <c r="X32" s="950"/>
      <c r="Y32" s="950"/>
      <c r="Z32" s="950"/>
      <c r="AA32" s="950"/>
      <c r="AB32" s="950"/>
      <c r="AC32" s="950"/>
      <c r="AD32" s="950"/>
      <c r="AE32" s="950"/>
      <c r="AF32" s="950"/>
      <c r="AG32" s="950"/>
      <c r="AH32" s="962"/>
      <c r="AI32" s="962"/>
      <c r="AJ32" s="962"/>
      <c r="AK32" s="960"/>
      <c r="AM32" s="930"/>
      <c r="AN32" s="930"/>
      <c r="AO32" s="930"/>
    </row>
    <row r="33" spans="1:45" ht="19.5" customHeight="1" x14ac:dyDescent="0.2">
      <c r="A33" s="949">
        <f>VLOOKUP(D33,EFETIVO!$C$2:$D$223,2,0)</f>
        <v>34</v>
      </c>
      <c r="B33" s="976" t="str">
        <f>VLOOKUP(D33,EFETIVO!$F$2:$G$127,2,0)</f>
        <v>2º SGT BARCELLOS</v>
      </c>
      <c r="C33" s="978" t="str">
        <f>VLOOKUP(D33,EFETIVO!$F:$H,3,0)</f>
        <v>CHEFE</v>
      </c>
      <c r="D33" s="955">
        <v>3037509</v>
      </c>
      <c r="E33" s="949" t="s">
        <v>216</v>
      </c>
      <c r="F33" s="950"/>
      <c r="G33" s="950"/>
      <c r="H33" s="950"/>
      <c r="I33" s="950"/>
      <c r="J33" s="950"/>
      <c r="K33" s="950"/>
      <c r="L33" s="950"/>
      <c r="M33" s="950"/>
      <c r="N33" s="950"/>
      <c r="O33" s="950"/>
      <c r="P33" s="950"/>
      <c r="Q33" s="950"/>
      <c r="R33" s="950"/>
      <c r="S33" s="950" t="s">
        <v>349</v>
      </c>
      <c r="T33" s="950"/>
      <c r="U33" s="950"/>
      <c r="V33" s="950"/>
      <c r="W33" s="950"/>
      <c r="X33" s="950"/>
      <c r="Y33" s="950"/>
      <c r="Z33" s="950"/>
      <c r="AA33" s="950"/>
      <c r="AB33" s="950"/>
      <c r="AC33" s="950"/>
      <c r="AD33" s="950"/>
      <c r="AE33" s="950"/>
      <c r="AF33" s="950"/>
      <c r="AG33" s="950"/>
      <c r="AH33" s="962"/>
      <c r="AI33" s="962"/>
      <c r="AJ33" s="962"/>
      <c r="AK33" s="958"/>
      <c r="AM33" s="930"/>
      <c r="AN33" s="930"/>
      <c r="AO33" s="930"/>
    </row>
    <row r="34" spans="1:45" ht="20.25" customHeight="1" x14ac:dyDescent="0.2">
      <c r="A34" s="949">
        <f>VLOOKUP(D34,EFETIVO!$C$2:$D$223,2,0)</f>
        <v>43</v>
      </c>
      <c r="B34" s="976" t="str">
        <f>VLOOKUP(D34,EFETIVO!$F$2:$G$127,2,0)</f>
        <v>3º SGT KARINA</v>
      </c>
      <c r="C34" s="978" t="str">
        <f>VLOOKUP(D34,EFETIVO!$F:$H,3,0)</f>
        <v>CHEFE</v>
      </c>
      <c r="D34" s="955">
        <v>3174824</v>
      </c>
      <c r="E34" s="949" t="s">
        <v>216</v>
      </c>
      <c r="F34" s="950"/>
      <c r="G34" s="950"/>
      <c r="H34" s="950"/>
      <c r="I34" s="950"/>
      <c r="J34" s="950"/>
      <c r="K34" s="950"/>
      <c r="L34" s="950"/>
      <c r="M34" s="950"/>
      <c r="N34" s="950"/>
      <c r="O34" s="950"/>
      <c r="P34" s="950"/>
      <c r="Q34" s="950"/>
      <c r="R34" s="950"/>
      <c r="S34" s="950"/>
      <c r="T34" s="950"/>
      <c r="U34" s="950"/>
      <c r="V34" s="950"/>
      <c r="W34" s="950" t="s">
        <v>349</v>
      </c>
      <c r="X34" s="950"/>
      <c r="Y34" s="950"/>
      <c r="Z34" s="950"/>
      <c r="AA34" s="950"/>
      <c r="AB34" s="950"/>
      <c r="AC34" s="950"/>
      <c r="AD34" s="950"/>
      <c r="AE34" s="950"/>
      <c r="AF34" s="950"/>
      <c r="AG34" s="950"/>
      <c r="AH34" s="962"/>
      <c r="AI34" s="962"/>
      <c r="AJ34" s="962"/>
      <c r="AK34" s="960"/>
      <c r="AM34" s="930"/>
      <c r="AN34" s="930"/>
      <c r="AO34" s="930"/>
    </row>
    <row r="35" spans="1:45" ht="20.25" customHeight="1" x14ac:dyDescent="0.2">
      <c r="A35" s="949">
        <f>VLOOKUP(D35,EFETIVO!$C$2:$D$223,2,0)</f>
        <v>55</v>
      </c>
      <c r="B35" s="976" t="str">
        <f>VLOOKUP(D35,EFETIVO!$F$2:$G$127,2,0)</f>
        <v>CB GUILHERME PERIM</v>
      </c>
      <c r="C35" s="978" t="str">
        <f>VLOOKUP(D35,EFETIVO!$F:$H,3,0)</f>
        <v>CONDUTOR B</v>
      </c>
      <c r="D35" s="955">
        <v>3269663</v>
      </c>
      <c r="E35" s="949" t="s">
        <v>216</v>
      </c>
      <c r="F35" s="950"/>
      <c r="G35" s="950"/>
      <c r="H35" s="950"/>
      <c r="I35" s="950"/>
      <c r="J35" s="950"/>
      <c r="K35" s="950"/>
      <c r="L35" s="950"/>
      <c r="M35" s="950"/>
      <c r="N35" s="950"/>
      <c r="O35" s="950"/>
      <c r="P35" s="950"/>
      <c r="Q35" s="950"/>
      <c r="R35" s="950"/>
      <c r="S35" s="950"/>
      <c r="T35" s="950"/>
      <c r="U35" s="950"/>
      <c r="V35" s="950"/>
      <c r="W35" s="950"/>
      <c r="X35" s="950"/>
      <c r="Y35" s="950"/>
      <c r="Z35" s="950"/>
      <c r="AA35" s="950" t="s">
        <v>349</v>
      </c>
      <c r="AB35" s="950"/>
      <c r="AC35" s="950"/>
      <c r="AD35" s="950"/>
      <c r="AE35" s="950"/>
      <c r="AF35" s="950"/>
      <c r="AG35" s="950"/>
      <c r="AH35" s="950"/>
      <c r="AI35" s="950"/>
      <c r="AJ35" s="950"/>
      <c r="AK35" s="1016"/>
      <c r="AM35" s="930"/>
      <c r="AN35" s="931"/>
      <c r="AO35" s="930"/>
      <c r="AQ35" s="931"/>
    </row>
    <row r="36" spans="1:45" ht="20.25" customHeight="1" x14ac:dyDescent="0.2">
      <c r="A36" s="949">
        <f>VLOOKUP(D36,EFETIVO!$C$2:$D$223,2,0)</f>
        <v>58</v>
      </c>
      <c r="B36" s="976" t="str">
        <f>VLOOKUP(D36,EFETIVO!$F$2:$G$127,2,0)</f>
        <v>CB MELLINA</v>
      </c>
      <c r="C36" s="978" t="str">
        <f>VLOOKUP(D36,EFETIVO!$F:$H,3,0)</f>
        <v>CONDUTOR B</v>
      </c>
      <c r="D36" s="955">
        <v>3269787</v>
      </c>
      <c r="E36" s="949" t="s">
        <v>216</v>
      </c>
      <c r="F36" s="950"/>
      <c r="G36" s="950"/>
      <c r="H36" s="950"/>
      <c r="I36" s="950"/>
      <c r="J36" s="950"/>
      <c r="K36" s="950"/>
      <c r="L36" s="950"/>
      <c r="M36" s="950"/>
      <c r="N36" s="950"/>
      <c r="O36" s="950"/>
      <c r="P36" s="950"/>
      <c r="Q36" s="950"/>
      <c r="R36" s="950"/>
      <c r="S36" s="950"/>
      <c r="T36" s="950"/>
      <c r="U36" s="950"/>
      <c r="V36" s="950"/>
      <c r="W36" s="950"/>
      <c r="X36" s="950"/>
      <c r="Y36" s="950"/>
      <c r="Z36" s="950"/>
      <c r="AA36" s="950"/>
      <c r="AB36" s="950"/>
      <c r="AC36" s="950"/>
      <c r="AD36" s="950"/>
      <c r="AE36" s="950" t="s">
        <v>349</v>
      </c>
      <c r="AF36" s="950"/>
      <c r="AG36" s="950"/>
      <c r="AH36" s="950"/>
      <c r="AI36" s="962"/>
      <c r="AJ36" s="962"/>
      <c r="AK36" s="958"/>
      <c r="AM36" s="931"/>
      <c r="AN36" s="931"/>
      <c r="AO36" s="931"/>
    </row>
    <row r="37" spans="1:45" ht="20.25" customHeight="1" x14ac:dyDescent="0.2">
      <c r="A37" s="949">
        <f>VLOOKUP(D37,EFETIVO!$C$2:$D$223,2,0)</f>
        <v>68</v>
      </c>
      <c r="B37" s="976" t="str">
        <f>VLOOKUP(D37,EFETIVO!$F$2:$G$127,2,0)</f>
        <v>CB DENIS</v>
      </c>
      <c r="C37" s="978" t="str">
        <f>VLOOKUP(D37,EFETIVO!$F:$H,3,0)</f>
        <v>CONDUTOR</v>
      </c>
      <c r="D37" s="955">
        <v>3195040</v>
      </c>
      <c r="E37" s="949" t="s">
        <v>216</v>
      </c>
      <c r="F37" s="950"/>
      <c r="G37" s="950"/>
      <c r="H37" s="950"/>
      <c r="I37" s="950"/>
      <c r="J37" s="950"/>
      <c r="K37" s="950"/>
      <c r="L37" s="950"/>
      <c r="M37" s="950"/>
      <c r="N37" s="950"/>
      <c r="O37" s="950"/>
      <c r="P37" s="950"/>
      <c r="Q37" s="950"/>
      <c r="R37" s="950"/>
      <c r="S37" s="950"/>
      <c r="T37" s="950"/>
      <c r="U37" s="950"/>
      <c r="V37" s="950"/>
      <c r="W37" s="950"/>
      <c r="X37" s="950"/>
      <c r="Y37" s="950"/>
      <c r="Z37" s="950"/>
      <c r="AA37" s="950"/>
      <c r="AB37" s="950"/>
      <c r="AC37" s="950"/>
      <c r="AD37" s="950"/>
      <c r="AE37" s="950"/>
      <c r="AF37" s="950"/>
      <c r="AG37" s="950"/>
      <c r="AH37" s="950"/>
      <c r="AI37" s="950" t="s">
        <v>349</v>
      </c>
      <c r="AJ37" s="962"/>
      <c r="AK37" s="951"/>
      <c r="AM37" s="1157"/>
      <c r="AN37" s="1157"/>
      <c r="AO37" s="1157"/>
      <c r="AP37" s="1157"/>
      <c r="AQ37" s="963"/>
      <c r="AR37" s="964"/>
      <c r="AS37" s="964"/>
    </row>
    <row r="38" spans="1:45" ht="20.25" customHeight="1" x14ac:dyDescent="0.2">
      <c r="A38" s="949">
        <f>VLOOKUP(D38,EFETIVO!$C$2:$D$223,2,0)</f>
        <v>71</v>
      </c>
      <c r="B38" s="976" t="str">
        <f>VLOOKUP(D38,EFETIVO!$F$2:$G$127,2,0)</f>
        <v>CB VICENTE</v>
      </c>
      <c r="C38" s="978" t="str">
        <f>VLOOKUP(D38,EFETIVO!$F:$H,3,0)</f>
        <v>CONDUTOR</v>
      </c>
      <c r="D38" s="955">
        <v>3670180</v>
      </c>
      <c r="E38" s="949" t="s">
        <v>216</v>
      </c>
      <c r="F38" s="950"/>
      <c r="G38" s="950"/>
      <c r="H38" s="950"/>
      <c r="I38" s="950"/>
      <c r="J38" s="950"/>
      <c r="K38" s="950"/>
      <c r="L38" s="950"/>
      <c r="M38" s="950"/>
      <c r="N38" s="950"/>
      <c r="O38" s="950" t="s">
        <v>349</v>
      </c>
      <c r="P38" s="950"/>
      <c r="Q38" s="950"/>
      <c r="R38" s="950"/>
      <c r="S38" s="950"/>
      <c r="T38" s="950"/>
      <c r="U38" s="950"/>
      <c r="V38" s="950"/>
      <c r="W38" s="950"/>
      <c r="X38" s="950"/>
      <c r="Y38" s="950"/>
      <c r="Z38" s="950"/>
      <c r="AA38" s="950"/>
      <c r="AB38" s="950"/>
      <c r="AC38" s="950"/>
      <c r="AD38" s="950"/>
      <c r="AE38" s="950"/>
      <c r="AF38" s="950"/>
      <c r="AG38" s="950"/>
      <c r="AH38" s="962"/>
      <c r="AI38" s="962"/>
      <c r="AJ38" s="962"/>
      <c r="AK38" s="959"/>
      <c r="AM38" s="64"/>
      <c r="AN38" s="64"/>
      <c r="AO38" s="64"/>
      <c r="AP38" s="64"/>
      <c r="AQ38" s="64"/>
      <c r="AR38" s="964"/>
      <c r="AS38" s="964"/>
    </row>
    <row r="39" spans="1:45" ht="20.25" customHeight="1" x14ac:dyDescent="0.2">
      <c r="A39" s="949">
        <f>VLOOKUP(D39,EFETIVO!$C$2:$D$223,2,0)</f>
        <v>82</v>
      </c>
      <c r="B39" s="976" t="str">
        <f>VLOOKUP(D39,EFETIVO!$F$2:$G$127,2,0)</f>
        <v>CB ESMAEL</v>
      </c>
      <c r="C39" s="978" t="str">
        <f>VLOOKUP(D39,EFETIVO!$F:$H,3,0)</f>
        <v>CONDUTOR</v>
      </c>
      <c r="D39" s="978">
        <v>4151631</v>
      </c>
      <c r="E39" s="949" t="s">
        <v>216</v>
      </c>
      <c r="F39" s="950"/>
      <c r="G39" s="950"/>
      <c r="H39" s="950"/>
      <c r="I39" s="950"/>
      <c r="J39" s="950"/>
      <c r="K39" s="950"/>
      <c r="L39" s="950"/>
      <c r="M39" s="950"/>
      <c r="N39" s="950"/>
      <c r="O39" s="950"/>
      <c r="P39" s="950"/>
      <c r="Q39" s="950"/>
      <c r="R39" s="950"/>
      <c r="S39" s="950"/>
      <c r="T39" s="950"/>
      <c r="U39" s="950"/>
      <c r="V39" s="950"/>
      <c r="W39" s="950" t="s">
        <v>350</v>
      </c>
      <c r="X39" s="950"/>
      <c r="Y39" s="950"/>
      <c r="Z39" s="950"/>
      <c r="AA39" s="950"/>
      <c r="AB39" s="950"/>
      <c r="AC39" s="950"/>
      <c r="AD39" s="950"/>
      <c r="AE39" s="950"/>
      <c r="AF39" s="950"/>
      <c r="AG39" s="950"/>
      <c r="AH39" s="950"/>
      <c r="AI39" s="962"/>
      <c r="AJ39" s="962"/>
      <c r="AK39" s="958" t="s">
        <v>345</v>
      </c>
      <c r="AM39" s="723"/>
      <c r="AN39" s="723"/>
      <c r="AO39" s="722"/>
      <c r="AP39" s="965"/>
      <c r="AQ39" s="965"/>
      <c r="AR39" s="964"/>
      <c r="AS39" s="964"/>
    </row>
    <row r="40" spans="1:45" ht="20.25" customHeight="1" x14ac:dyDescent="0.2">
      <c r="A40" s="949">
        <f>VLOOKUP(D40,EFETIVO!$C$2:$D$223,2,0)</f>
        <v>96</v>
      </c>
      <c r="B40" s="976" t="str">
        <f>VLOOKUP(D40,EFETIVO!$F$2:$G$127,2,0)</f>
        <v>SD MARTINELLI</v>
      </c>
      <c r="C40" s="978" t="str">
        <f>VLOOKUP(D40,EFETIVO!$F:$H,3,0)</f>
        <v>OPERADOR</v>
      </c>
      <c r="D40" s="955">
        <v>4750241</v>
      </c>
      <c r="E40" s="949" t="s">
        <v>216</v>
      </c>
      <c r="F40" s="950"/>
      <c r="G40" s="950" t="s">
        <v>349</v>
      </c>
      <c r="H40" s="950"/>
      <c r="I40" s="950"/>
      <c r="J40" s="950"/>
      <c r="K40" s="950"/>
      <c r="L40" s="950"/>
      <c r="M40" s="950"/>
      <c r="N40" s="950"/>
      <c r="O40" s="950"/>
      <c r="P40" s="950"/>
      <c r="Q40" s="950"/>
      <c r="R40" s="950"/>
      <c r="S40" s="950" t="s">
        <v>350</v>
      </c>
      <c r="T40" s="950"/>
      <c r="U40" s="950"/>
      <c r="V40" s="950"/>
      <c r="W40" s="950"/>
      <c r="X40" s="950"/>
      <c r="Y40" s="950"/>
      <c r="Z40" s="950"/>
      <c r="AA40" s="950"/>
      <c r="AB40" s="950"/>
      <c r="AC40" s="950"/>
      <c r="AD40" s="950"/>
      <c r="AE40" s="950"/>
      <c r="AF40" s="950"/>
      <c r="AG40" s="950"/>
      <c r="AH40" s="962"/>
      <c r="AI40" s="962"/>
      <c r="AJ40" s="962"/>
      <c r="AK40" s="958"/>
      <c r="AM40" s="723"/>
      <c r="AN40" s="723"/>
      <c r="AO40" s="722"/>
      <c r="AP40" s="965"/>
      <c r="AQ40" s="965"/>
      <c r="AR40" s="964"/>
      <c r="AS40" s="964"/>
    </row>
    <row r="41" spans="1:45" ht="20.25" customHeight="1" x14ac:dyDescent="0.2">
      <c r="A41" s="949">
        <f>VLOOKUP(D41,EFETIVO!$C$2:$D$223,2,0)</f>
        <v>98</v>
      </c>
      <c r="B41" s="976" t="str">
        <f>VLOOKUP(D41,EFETIVO!$F$2:$G$127,2,0)</f>
        <v>SD DANILO</v>
      </c>
      <c r="C41" s="978" t="str">
        <f>VLOOKUP(D41,EFETIVO!$F:$H,3,0)</f>
        <v>OPERADOR D</v>
      </c>
      <c r="D41" s="955">
        <v>4749952</v>
      </c>
      <c r="E41" s="955" t="s">
        <v>216</v>
      </c>
      <c r="F41" s="962" t="s">
        <v>353</v>
      </c>
      <c r="G41" s="962" t="s">
        <v>353</v>
      </c>
      <c r="H41" s="962" t="s">
        <v>353</v>
      </c>
      <c r="I41" s="962" t="s">
        <v>353</v>
      </c>
      <c r="J41" s="962" t="s">
        <v>353</v>
      </c>
      <c r="K41" s="962" t="s">
        <v>353</v>
      </c>
      <c r="L41" s="962"/>
      <c r="M41" s="962"/>
      <c r="N41" s="962"/>
      <c r="O41" s="962"/>
      <c r="P41" s="962"/>
      <c r="Q41" s="962"/>
      <c r="R41" s="962"/>
      <c r="S41" s="962"/>
      <c r="T41" s="962"/>
      <c r="U41" s="962"/>
      <c r="V41" s="962"/>
      <c r="W41" s="962"/>
      <c r="X41" s="962"/>
      <c r="Y41" s="962"/>
      <c r="Z41" s="962"/>
      <c r="AA41" s="962" t="s">
        <v>350</v>
      </c>
      <c r="AB41" s="962"/>
      <c r="AC41" s="962"/>
      <c r="AD41" s="962"/>
      <c r="AE41" s="962"/>
      <c r="AF41" s="962"/>
      <c r="AG41" s="962"/>
      <c r="AH41" s="962"/>
      <c r="AI41" s="962"/>
      <c r="AJ41" s="962"/>
      <c r="AK41" s="958"/>
      <c r="AM41" s="969"/>
      <c r="AN41" s="723"/>
      <c r="AO41" s="722"/>
      <c r="AP41" s="965"/>
      <c r="AQ41" s="965"/>
      <c r="AR41" s="964"/>
      <c r="AS41" s="964"/>
    </row>
    <row r="42" spans="1:45" ht="20.25" customHeight="1" x14ac:dyDescent="0.2">
      <c r="A42" s="949">
        <f>VLOOKUP(D42,EFETIVO!$C$2:$D$223,2,0)</f>
        <v>101</v>
      </c>
      <c r="B42" s="976" t="str">
        <f>VLOOKUP(D42,EFETIVO!$F$2:$G$127,2,0)</f>
        <v>SD LOUREIRO</v>
      </c>
      <c r="C42" s="978" t="str">
        <f>VLOOKUP(D42,EFETIVO!$F:$H,3,0)</f>
        <v>OPERADOR</v>
      </c>
      <c r="D42" s="955">
        <v>4749340</v>
      </c>
      <c r="E42" s="949" t="s">
        <v>216</v>
      </c>
      <c r="F42" s="950"/>
      <c r="G42" s="950"/>
      <c r="H42" s="950"/>
      <c r="I42" s="950"/>
      <c r="J42" s="950"/>
      <c r="K42" s="950"/>
      <c r="L42" s="950"/>
      <c r="M42" s="950"/>
      <c r="N42" s="950"/>
      <c r="O42" s="950"/>
      <c r="P42" s="950"/>
      <c r="Q42" s="950"/>
      <c r="R42" s="950"/>
      <c r="S42" s="950"/>
      <c r="T42" s="950"/>
      <c r="U42" s="950"/>
      <c r="V42" s="962"/>
      <c r="W42" s="950"/>
      <c r="X42" s="950"/>
      <c r="Y42" s="950"/>
      <c r="Z42" s="950"/>
      <c r="AA42" s="950"/>
      <c r="AB42" s="950"/>
      <c r="AC42" s="950"/>
      <c r="AD42" s="950"/>
      <c r="AE42" s="950"/>
      <c r="AF42" s="950"/>
      <c r="AG42" s="950"/>
      <c r="AH42" s="962"/>
      <c r="AI42" s="962"/>
      <c r="AJ42" s="962"/>
      <c r="AK42" s="956"/>
      <c r="AM42" s="723"/>
      <c r="AN42" s="723"/>
      <c r="AO42" s="722"/>
      <c r="AP42" s="965"/>
      <c r="AQ42" s="965"/>
      <c r="AR42" s="964"/>
      <c r="AS42" s="964"/>
    </row>
    <row r="43" spans="1:45" ht="20.25" customHeight="1" x14ac:dyDescent="0.2">
      <c r="A43" s="949">
        <f>VLOOKUP(D43,EFETIVO!$C$2:$D$223,2,0)</f>
        <v>20</v>
      </c>
      <c r="B43" s="976" t="str">
        <f>VLOOKUP(D43,EFETIVO!$F$2:$G$127,2,0)</f>
        <v xml:space="preserve">1ºSGT HEVERTON </v>
      </c>
      <c r="C43" s="978" t="str">
        <f>VLOOKUP(D43,EFETIVO!$F:$H,3,0)</f>
        <v>CHEFE</v>
      </c>
      <c r="D43" s="955">
        <v>2778300</v>
      </c>
      <c r="E43" s="949" t="s">
        <v>217</v>
      </c>
      <c r="F43" s="950" t="s">
        <v>353</v>
      </c>
      <c r="G43" s="950" t="s">
        <v>353</v>
      </c>
      <c r="H43" s="950"/>
      <c r="I43" s="950"/>
      <c r="J43" s="950"/>
      <c r="K43" s="950"/>
      <c r="L43" s="950"/>
      <c r="M43" s="950"/>
      <c r="N43" s="950"/>
      <c r="O43" s="950"/>
      <c r="P43" s="950" t="s">
        <v>349</v>
      </c>
      <c r="Q43" s="950"/>
      <c r="R43" s="950"/>
      <c r="S43" s="950"/>
      <c r="T43" s="950"/>
      <c r="U43" s="950"/>
      <c r="V43" s="950"/>
      <c r="W43" s="950"/>
      <c r="X43" s="950"/>
      <c r="Y43" s="950"/>
      <c r="Z43" s="950"/>
      <c r="AA43" s="950"/>
      <c r="AB43" s="950"/>
      <c r="AC43" s="950"/>
      <c r="AD43" s="950"/>
      <c r="AE43" s="950"/>
      <c r="AF43" s="950"/>
      <c r="AG43" s="950"/>
      <c r="AH43" s="950"/>
      <c r="AI43" s="950"/>
      <c r="AJ43" s="962"/>
      <c r="AK43" s="956"/>
      <c r="AM43" s="723"/>
      <c r="AN43" s="723"/>
      <c r="AO43" s="722"/>
      <c r="AP43" s="965"/>
      <c r="AQ43" s="965"/>
      <c r="AR43" s="964"/>
      <c r="AS43" s="964"/>
    </row>
    <row r="44" spans="1:45" ht="20.25" customHeight="1" x14ac:dyDescent="0.2">
      <c r="A44" s="949">
        <f>VLOOKUP(D44,EFETIVO!$C$2:$D$223,2,0)</f>
        <v>35</v>
      </c>
      <c r="B44" s="976" t="str">
        <f>VLOOKUP(D44,EFETIVO!$F$2:$G$127,2,0)</f>
        <v>3º SGT HOMERO</v>
      </c>
      <c r="C44" s="978" t="str">
        <f>VLOOKUP(D44,EFETIVO!$F:$H,3,0)</f>
        <v>CHEFE</v>
      </c>
      <c r="D44" s="955">
        <v>3037584</v>
      </c>
      <c r="E44" s="949" t="s">
        <v>217</v>
      </c>
      <c r="F44" s="950"/>
      <c r="G44" s="950"/>
      <c r="H44" s="950"/>
      <c r="I44" s="950"/>
      <c r="J44" s="950"/>
      <c r="K44" s="950"/>
      <c r="L44" s="950"/>
      <c r="M44" s="950"/>
      <c r="N44" s="950"/>
      <c r="O44" s="950"/>
      <c r="P44" s="950"/>
      <c r="Q44" s="950"/>
      <c r="R44" s="950"/>
      <c r="S44" s="950"/>
      <c r="T44" s="950" t="s">
        <v>349</v>
      </c>
      <c r="U44" s="950"/>
      <c r="V44" s="950"/>
      <c r="W44" s="950"/>
      <c r="X44" s="950"/>
      <c r="Y44" s="950"/>
      <c r="Z44" s="950"/>
      <c r="AA44" s="950"/>
      <c r="AB44" s="950"/>
      <c r="AC44" s="950"/>
      <c r="AD44" s="950"/>
      <c r="AE44" s="950"/>
      <c r="AF44" s="950"/>
      <c r="AG44" s="950"/>
      <c r="AH44" s="950"/>
      <c r="AI44" s="950"/>
      <c r="AJ44" s="950"/>
      <c r="AK44" s="954"/>
      <c r="AM44" s="723"/>
      <c r="AN44" s="723"/>
      <c r="AO44" s="722"/>
      <c r="AP44" s="965"/>
      <c r="AQ44" s="965"/>
      <c r="AR44" s="964"/>
      <c r="AS44" s="964"/>
    </row>
    <row r="45" spans="1:45" ht="20.25" customHeight="1" x14ac:dyDescent="0.2">
      <c r="A45" s="949">
        <f>VLOOKUP(D45,EFETIVO!$C$2:$D$223,2,0)</f>
        <v>37</v>
      </c>
      <c r="B45" s="976" t="str">
        <f>VLOOKUP(D45,EFETIVO!$F$2:$G$127,2,0)</f>
        <v>3º SGT SHIRLEY</v>
      </c>
      <c r="C45" s="978" t="str">
        <f>VLOOKUP(D45,EFETIVO!$F:$H,3,0)</f>
        <v>CHEFE</v>
      </c>
      <c r="D45" s="955">
        <v>3137252</v>
      </c>
      <c r="E45" s="979" t="s">
        <v>217</v>
      </c>
      <c r="F45" s="950"/>
      <c r="G45" s="950"/>
      <c r="H45" s="950"/>
      <c r="I45" s="950"/>
      <c r="J45" s="950"/>
      <c r="K45" s="950"/>
      <c r="L45" s="950" t="s">
        <v>349</v>
      </c>
      <c r="M45" s="950"/>
      <c r="N45" s="950"/>
      <c r="O45" s="950"/>
      <c r="P45" s="950"/>
      <c r="Q45" s="950"/>
      <c r="R45" s="950"/>
      <c r="S45" s="950"/>
      <c r="T45" s="950"/>
      <c r="U45" s="950"/>
      <c r="V45" s="950"/>
      <c r="W45" s="950" t="s">
        <v>228</v>
      </c>
      <c r="X45" s="950" t="s">
        <v>228</v>
      </c>
      <c r="Y45" s="950" t="s">
        <v>228</v>
      </c>
      <c r="Z45" s="950" t="s">
        <v>228</v>
      </c>
      <c r="AA45" s="950" t="s">
        <v>228</v>
      </c>
      <c r="AB45" s="950" t="s">
        <v>228</v>
      </c>
      <c r="AC45" s="950" t="s">
        <v>228</v>
      </c>
      <c r="AD45" s="950" t="s">
        <v>228</v>
      </c>
      <c r="AE45" s="950" t="s">
        <v>228</v>
      </c>
      <c r="AF45" s="950" t="s">
        <v>228</v>
      </c>
      <c r="AG45" s="950" t="s">
        <v>228</v>
      </c>
      <c r="AH45" s="962" t="s">
        <v>228</v>
      </c>
      <c r="AI45" s="962" t="s">
        <v>228</v>
      </c>
      <c r="AJ45" s="962" t="s">
        <v>228</v>
      </c>
      <c r="AK45" s="958"/>
      <c r="AM45" s="723"/>
      <c r="AN45" s="723"/>
      <c r="AO45" s="722"/>
      <c r="AP45" s="1156"/>
      <c r="AQ45" s="1156"/>
      <c r="AR45" s="964"/>
      <c r="AS45" s="964"/>
    </row>
    <row r="46" spans="1:45" ht="20.25" customHeight="1" x14ac:dyDescent="0.2">
      <c r="A46" s="949">
        <f>VLOOKUP(D46,EFETIVO!$C$2:$D$223,2,0)</f>
        <v>45</v>
      </c>
      <c r="B46" s="976" t="str">
        <f>VLOOKUP(D46,EFETIVO!$F$2:$G$127,2,0)</f>
        <v>3º SGT TÚLIO</v>
      </c>
      <c r="C46" s="978" t="str">
        <f>VLOOKUP(D46,EFETIVO!$F:$H,3,0)</f>
        <v>CHEFE</v>
      </c>
      <c r="D46" s="955">
        <v>3137333</v>
      </c>
      <c r="E46" s="949" t="s">
        <v>217</v>
      </c>
      <c r="F46" s="950" t="s">
        <v>228</v>
      </c>
      <c r="G46" s="950" t="s">
        <v>228</v>
      </c>
      <c r="H46" s="950" t="s">
        <v>228</v>
      </c>
      <c r="I46" s="950" t="s">
        <v>228</v>
      </c>
      <c r="J46" s="950" t="s">
        <v>228</v>
      </c>
      <c r="K46" s="950" t="s">
        <v>228</v>
      </c>
      <c r="L46" s="950" t="s">
        <v>228</v>
      </c>
      <c r="M46" s="950" t="s">
        <v>228</v>
      </c>
      <c r="N46" s="950" t="s">
        <v>228</v>
      </c>
      <c r="O46" s="950" t="s">
        <v>228</v>
      </c>
      <c r="P46" s="950" t="s">
        <v>228</v>
      </c>
      <c r="Q46" s="950" t="s">
        <v>228</v>
      </c>
      <c r="R46" s="950" t="s">
        <v>228</v>
      </c>
      <c r="S46" s="950" t="s">
        <v>228</v>
      </c>
      <c r="T46" s="950" t="s">
        <v>228</v>
      </c>
      <c r="U46" s="950" t="s">
        <v>228</v>
      </c>
      <c r="V46" s="950"/>
      <c r="W46" s="950"/>
      <c r="X46" s="950"/>
      <c r="Y46" s="950"/>
      <c r="Z46" s="950"/>
      <c r="AA46" s="950"/>
      <c r="AB46" s="950"/>
      <c r="AC46" s="950"/>
      <c r="AD46" s="950"/>
      <c r="AE46" s="950"/>
      <c r="AF46" s="950" t="s">
        <v>349</v>
      </c>
      <c r="AG46" s="950"/>
      <c r="AH46" s="950"/>
      <c r="AI46" s="950"/>
      <c r="AJ46" s="950"/>
      <c r="AK46" s="957"/>
      <c r="AM46" s="723"/>
      <c r="AN46" s="723"/>
      <c r="AO46" s="722"/>
      <c r="AP46" s="1156"/>
      <c r="AQ46" s="1156"/>
      <c r="AR46" s="964"/>
      <c r="AS46" s="964"/>
    </row>
    <row r="47" spans="1:45" ht="20.25" customHeight="1" x14ac:dyDescent="0.2">
      <c r="A47" s="949">
        <f>VLOOKUP(D47,EFETIVO!$C$2:$D$223,2,0)</f>
        <v>53</v>
      </c>
      <c r="B47" s="976" t="str">
        <f>VLOOKUP(D47,EFETIVO!$F$2:$G$127,2,0)</f>
        <v>CB IZACK GONÇALVES</v>
      </c>
      <c r="C47" s="978" t="str">
        <f>VLOOKUP(D47,EFETIVO!$F:$H,3,0)</f>
        <v>CONDUTOR B</v>
      </c>
      <c r="D47" s="955">
        <v>3269175</v>
      </c>
      <c r="E47" s="949" t="s">
        <v>217</v>
      </c>
      <c r="F47" s="950"/>
      <c r="G47" s="950"/>
      <c r="H47" s="950" t="s">
        <v>349</v>
      </c>
      <c r="I47" s="950"/>
      <c r="J47" s="950"/>
      <c r="K47" s="950"/>
      <c r="L47" s="950"/>
      <c r="M47" s="962"/>
      <c r="N47" s="950"/>
      <c r="O47" s="950"/>
      <c r="P47" s="950"/>
      <c r="Q47" s="950"/>
      <c r="R47" s="950"/>
      <c r="S47" s="950"/>
      <c r="T47" s="950"/>
      <c r="U47" s="950"/>
      <c r="V47" s="950"/>
      <c r="W47" s="950" t="s">
        <v>228</v>
      </c>
      <c r="X47" s="950" t="s">
        <v>228</v>
      </c>
      <c r="Y47" s="950" t="s">
        <v>228</v>
      </c>
      <c r="Z47" s="950" t="s">
        <v>228</v>
      </c>
      <c r="AA47" s="950" t="s">
        <v>228</v>
      </c>
      <c r="AB47" s="950" t="s">
        <v>228</v>
      </c>
      <c r="AC47" s="950" t="s">
        <v>228</v>
      </c>
      <c r="AD47" s="950" t="s">
        <v>228</v>
      </c>
      <c r="AE47" s="950" t="s">
        <v>228</v>
      </c>
      <c r="AF47" s="950" t="s">
        <v>228</v>
      </c>
      <c r="AG47" s="950" t="s">
        <v>228</v>
      </c>
      <c r="AH47" s="962" t="s">
        <v>228</v>
      </c>
      <c r="AI47" s="962" t="s">
        <v>228</v>
      </c>
      <c r="AJ47" s="962" t="s">
        <v>228</v>
      </c>
      <c r="AK47" s="951" t="s">
        <v>291</v>
      </c>
      <c r="AM47" s="723"/>
      <c r="AN47" s="723"/>
      <c r="AO47" s="722"/>
      <c r="AP47" s="1156"/>
      <c r="AQ47" s="1156"/>
      <c r="AR47" s="964"/>
      <c r="AS47" s="964"/>
    </row>
    <row r="48" spans="1:45" ht="20.25" customHeight="1" x14ac:dyDescent="0.2">
      <c r="A48" s="949">
        <f>VLOOKUP(D48,EFETIVO!$C$2:$D$223,2,0)</f>
        <v>56</v>
      </c>
      <c r="B48" s="976" t="str">
        <f>VLOOKUP(D48,EFETIVO!$F$2:$G$127,2,0)</f>
        <v>CB KREUZ</v>
      </c>
      <c r="C48" s="978" t="str">
        <f>VLOOKUP(D48,EFETIVO!$F:$H,3,0)</f>
        <v>CONDUTOR</v>
      </c>
      <c r="D48" s="955">
        <v>3271099</v>
      </c>
      <c r="E48" s="949" t="s">
        <v>217</v>
      </c>
      <c r="F48" s="950"/>
      <c r="G48" s="950"/>
      <c r="H48" s="950"/>
      <c r="I48" s="950"/>
      <c r="J48" s="950"/>
      <c r="K48" s="950"/>
      <c r="L48" s="950"/>
      <c r="M48" s="950"/>
      <c r="N48" s="950"/>
      <c r="O48" s="950"/>
      <c r="P48" s="950"/>
      <c r="Q48" s="950"/>
      <c r="R48" s="950"/>
      <c r="S48" s="950"/>
      <c r="T48" s="950"/>
      <c r="U48" s="950"/>
      <c r="V48" s="950"/>
      <c r="W48" s="950"/>
      <c r="X48" s="950" t="s">
        <v>349</v>
      </c>
      <c r="Y48" s="950"/>
      <c r="Z48" s="950"/>
      <c r="AA48" s="950"/>
      <c r="AB48" s="950"/>
      <c r="AC48" s="950"/>
      <c r="AD48" s="950"/>
      <c r="AE48" s="950"/>
      <c r="AF48" s="950"/>
      <c r="AG48" s="950"/>
      <c r="AH48" s="962"/>
      <c r="AI48" s="962"/>
      <c r="AJ48" s="962"/>
      <c r="AK48" s="957"/>
      <c r="AM48" s="723"/>
      <c r="AN48" s="723"/>
      <c r="AO48" s="722"/>
      <c r="AP48" s="1156"/>
      <c r="AQ48" s="1156"/>
      <c r="AR48" s="964"/>
      <c r="AS48" s="964"/>
    </row>
    <row r="49" spans="1:45" ht="20.25" customHeight="1" x14ac:dyDescent="0.2">
      <c r="A49" s="949">
        <f>VLOOKUP(D49,EFETIVO!$C$2:$D$223,2,0)</f>
        <v>72</v>
      </c>
      <c r="B49" s="976" t="str">
        <f>VLOOKUP(D49,EFETIVO!$F$2:$G$127,2,0)</f>
        <v>CB JACQUES</v>
      </c>
      <c r="C49" s="978" t="str">
        <f>VLOOKUP(D49,EFETIVO!$F:$H,3,0)</f>
        <v>CONDUTOR</v>
      </c>
      <c r="D49" s="955">
        <v>3055108</v>
      </c>
      <c r="E49" s="949" t="s">
        <v>217</v>
      </c>
      <c r="F49" s="950"/>
      <c r="G49" s="950"/>
      <c r="H49" s="950"/>
      <c r="I49" s="950"/>
      <c r="J49" s="950"/>
      <c r="K49" s="950"/>
      <c r="L49" s="950"/>
      <c r="M49" s="950"/>
      <c r="N49" s="950"/>
      <c r="O49" s="950"/>
      <c r="P49" s="950"/>
      <c r="Q49" s="950"/>
      <c r="R49" s="950"/>
      <c r="S49" s="950"/>
      <c r="T49" s="950"/>
      <c r="U49" s="950"/>
      <c r="V49" s="950"/>
      <c r="W49" s="950"/>
      <c r="X49" s="950"/>
      <c r="Y49" s="950"/>
      <c r="Z49" s="950"/>
      <c r="AA49" s="950"/>
      <c r="AB49" s="950" t="s">
        <v>349</v>
      </c>
      <c r="AC49" s="950"/>
      <c r="AD49" s="950"/>
      <c r="AE49" s="950"/>
      <c r="AF49" s="950"/>
      <c r="AG49" s="950"/>
      <c r="AH49" s="962"/>
      <c r="AI49" s="962"/>
      <c r="AJ49" s="962"/>
      <c r="AK49" s="957"/>
      <c r="AM49" s="723"/>
      <c r="AN49" s="723"/>
      <c r="AO49" s="722"/>
      <c r="AP49" s="1156"/>
      <c r="AQ49" s="1156"/>
      <c r="AR49" s="964"/>
      <c r="AS49" s="964"/>
    </row>
    <row r="50" spans="1:45" ht="20.25" customHeight="1" x14ac:dyDescent="0.2">
      <c r="A50" s="949">
        <f>VLOOKUP(D50,EFETIVO!$C$2:$D$223,2,0)</f>
        <v>76</v>
      </c>
      <c r="B50" s="976" t="str">
        <f>VLOOKUP(D50,EFETIVO!$F$2:$G$127,2,0)</f>
        <v>CB GODOY</v>
      </c>
      <c r="C50" s="978" t="str">
        <f>VLOOKUP(D50,EFETIVO!$F:$H,3,0)</f>
        <v>CONDUTOR</v>
      </c>
      <c r="D50" s="955">
        <v>4151038</v>
      </c>
      <c r="E50" s="949" t="s">
        <v>217</v>
      </c>
      <c r="F50" s="950"/>
      <c r="G50" s="950"/>
      <c r="H50" s="950"/>
      <c r="I50" s="950"/>
      <c r="J50" s="950"/>
      <c r="K50" s="950"/>
      <c r="L50" s="950"/>
      <c r="M50" s="950"/>
      <c r="N50" s="950"/>
      <c r="O50" s="950"/>
      <c r="P50" s="950" t="s">
        <v>349</v>
      </c>
      <c r="Q50" s="950"/>
      <c r="R50" s="950"/>
      <c r="S50" s="950"/>
      <c r="T50" s="950"/>
      <c r="U50" s="950"/>
      <c r="V50" s="962"/>
      <c r="W50" s="950"/>
      <c r="X50" s="950"/>
      <c r="Y50" s="950"/>
      <c r="Z50" s="950"/>
      <c r="AA50" s="950"/>
      <c r="AB50" s="950"/>
      <c r="AC50" s="950"/>
      <c r="AD50" s="950"/>
      <c r="AE50" s="950"/>
      <c r="AF50" s="950"/>
      <c r="AG50" s="950"/>
      <c r="AH50" s="962"/>
      <c r="AI50" s="962"/>
      <c r="AJ50" s="962"/>
      <c r="AK50" s="960"/>
      <c r="AM50" s="723"/>
      <c r="AN50" s="723"/>
      <c r="AO50" s="722"/>
      <c r="AP50" s="965"/>
      <c r="AQ50" s="965"/>
      <c r="AR50" s="964"/>
      <c r="AS50" s="964"/>
    </row>
    <row r="51" spans="1:45" ht="20.25" customHeight="1" x14ac:dyDescent="0.2">
      <c r="A51" s="949">
        <f>VLOOKUP(D51,EFETIVO!$C$2:$D$223,2,0)</f>
        <v>78</v>
      </c>
      <c r="B51" s="976" t="str">
        <f>VLOOKUP(D51,EFETIVO!$F$2:$G$127,2,0)</f>
        <v>CB JOÃO VICTOR</v>
      </c>
      <c r="C51" s="978" t="str">
        <f>VLOOKUP(D51,EFETIVO!$F:$H,3,0)</f>
        <v>CONDUTOR</v>
      </c>
      <c r="D51" s="955">
        <v>4150627</v>
      </c>
      <c r="E51" s="949" t="s">
        <v>217</v>
      </c>
      <c r="F51" s="950"/>
      <c r="G51" s="950"/>
      <c r="H51" s="950"/>
      <c r="I51" s="950"/>
      <c r="J51" s="950"/>
      <c r="K51" s="950"/>
      <c r="L51" s="950"/>
      <c r="M51" s="950"/>
      <c r="N51" s="950"/>
      <c r="O51" s="950"/>
      <c r="P51" s="950"/>
      <c r="Q51" s="950"/>
      <c r="R51" s="950"/>
      <c r="S51" s="950"/>
      <c r="T51" s="950"/>
      <c r="U51" s="950"/>
      <c r="V51" s="950"/>
      <c r="W51" s="950"/>
      <c r="X51" s="950"/>
      <c r="Y51" s="950"/>
      <c r="Z51" s="950"/>
      <c r="AA51" s="950"/>
      <c r="AB51" s="950"/>
      <c r="AC51" s="950"/>
      <c r="AD51" s="950"/>
      <c r="AE51" s="950"/>
      <c r="AF51" s="950" t="s">
        <v>350</v>
      </c>
      <c r="AG51" s="950"/>
      <c r="AH51" s="950"/>
      <c r="AI51" s="950"/>
      <c r="AJ51" s="950"/>
      <c r="AK51" s="981"/>
      <c r="AM51" s="723"/>
      <c r="AN51" s="723"/>
      <c r="AO51" s="722"/>
      <c r="AP51" s="965"/>
      <c r="AQ51" s="965"/>
      <c r="AR51" s="964"/>
      <c r="AS51" s="964"/>
    </row>
    <row r="52" spans="1:45" ht="20.25" customHeight="1" x14ac:dyDescent="0.2">
      <c r="A52" s="949">
        <f>VLOOKUP(D52,EFETIVO!$C$2:$D$223,2,0)</f>
        <v>85</v>
      </c>
      <c r="B52" s="976" t="str">
        <f>VLOOKUP(D52,EFETIVO!$F$2:$G$127,2,0)</f>
        <v>CB ANDRÉ SOUZA</v>
      </c>
      <c r="C52" s="978" t="str">
        <f>VLOOKUP(D52,EFETIVO!$F:$H,3,0)</f>
        <v>CONDUTOR</v>
      </c>
      <c r="D52" s="955">
        <v>3715027</v>
      </c>
      <c r="E52" s="949" t="s">
        <v>217</v>
      </c>
      <c r="F52" s="950"/>
      <c r="G52" s="950"/>
      <c r="H52" s="950"/>
      <c r="I52" s="950"/>
      <c r="J52" s="950"/>
      <c r="K52" s="950"/>
      <c r="L52" s="950"/>
      <c r="M52" s="950"/>
      <c r="N52" s="950"/>
      <c r="O52" s="950"/>
      <c r="P52" s="950"/>
      <c r="Q52" s="950"/>
      <c r="R52" s="950"/>
      <c r="S52" s="950"/>
      <c r="T52" s="950"/>
      <c r="U52" s="950"/>
      <c r="V52" s="950"/>
      <c r="W52" s="950"/>
      <c r="X52" s="950" t="s">
        <v>350</v>
      </c>
      <c r="Y52" s="950"/>
      <c r="Z52" s="950"/>
      <c r="AA52" s="950"/>
      <c r="AB52" s="950"/>
      <c r="AC52" s="950"/>
      <c r="AD52" s="950"/>
      <c r="AE52" s="950"/>
      <c r="AF52" s="950"/>
      <c r="AG52" s="950"/>
      <c r="AH52" s="962"/>
      <c r="AI52" s="962"/>
      <c r="AJ52" s="962"/>
      <c r="AK52" s="956"/>
      <c r="AM52" s="969"/>
      <c r="AN52" s="723"/>
      <c r="AO52" s="722"/>
      <c r="AP52" s="965"/>
      <c r="AQ52" s="965"/>
      <c r="AR52" s="964"/>
      <c r="AS52" s="964"/>
    </row>
    <row r="53" spans="1:45" ht="20.25" customHeight="1" x14ac:dyDescent="0.2">
      <c r="A53" s="949">
        <f>VLOOKUP(D53,EFETIVO!$C$2:$D$223,2,0)</f>
        <v>88</v>
      </c>
      <c r="B53" s="976" t="str">
        <f>VLOOKUP(D53,EFETIVO!$F$2:$G$127,2,0)</f>
        <v>CB IERACITANO</v>
      </c>
      <c r="C53" s="978" t="str">
        <f>VLOOKUP(D53,EFETIVO!$F:$H,3,0)</f>
        <v>CONDUTOR</v>
      </c>
      <c r="D53" s="955">
        <v>4190726</v>
      </c>
      <c r="E53" s="949" t="s">
        <v>217</v>
      </c>
      <c r="F53" s="950" t="s">
        <v>228</v>
      </c>
      <c r="G53" s="950" t="s">
        <v>228</v>
      </c>
      <c r="H53" s="950" t="s">
        <v>228</v>
      </c>
      <c r="I53" s="950" t="s">
        <v>228</v>
      </c>
      <c r="J53" s="950" t="s">
        <v>228</v>
      </c>
      <c r="K53" s="950" t="s">
        <v>228</v>
      </c>
      <c r="L53" s="950" t="s">
        <v>228</v>
      </c>
      <c r="M53" s="950" t="s">
        <v>228</v>
      </c>
      <c r="N53" s="950" t="s">
        <v>228</v>
      </c>
      <c r="O53" s="950" t="s">
        <v>228</v>
      </c>
      <c r="P53" s="950" t="s">
        <v>228</v>
      </c>
      <c r="Q53" s="950" t="s">
        <v>228</v>
      </c>
      <c r="R53" s="950" t="s">
        <v>228</v>
      </c>
      <c r="S53" s="950" t="s">
        <v>228</v>
      </c>
      <c r="T53" s="950" t="s">
        <v>228</v>
      </c>
      <c r="U53" s="950" t="s">
        <v>228</v>
      </c>
      <c r="V53" s="950" t="s">
        <v>228</v>
      </c>
      <c r="W53" s="950"/>
      <c r="X53" s="950"/>
      <c r="Y53" s="950"/>
      <c r="Z53" s="950"/>
      <c r="AA53" s="950"/>
      <c r="AB53" s="950"/>
      <c r="AC53" s="950"/>
      <c r="AD53" s="950"/>
      <c r="AE53" s="950"/>
      <c r="AF53" s="950"/>
      <c r="AG53" s="950"/>
      <c r="AH53" s="962"/>
      <c r="AI53" s="962"/>
      <c r="AJ53" s="962" t="s">
        <v>367</v>
      </c>
      <c r="AK53" s="958" t="s">
        <v>366</v>
      </c>
      <c r="AM53" s="969"/>
      <c r="AN53" s="723"/>
      <c r="AO53" s="722"/>
      <c r="AP53" s="965"/>
      <c r="AQ53" s="965"/>
      <c r="AR53" s="964"/>
      <c r="AS53" s="964"/>
    </row>
    <row r="54" spans="1:45" ht="20.25" customHeight="1" x14ac:dyDescent="0.2">
      <c r="A54" s="949">
        <f>VLOOKUP(D54,EFETIVO!$C$2:$D$223,2,0)</f>
        <v>89</v>
      </c>
      <c r="B54" s="976" t="str">
        <f>VLOOKUP(D54,EFETIVO!$F$2:$G$127,2,0)</f>
        <v>CB SCALZER</v>
      </c>
      <c r="C54" s="978" t="str">
        <f>VLOOKUP(D54,EFETIVO!$F:$H,3,0)</f>
        <v>OPERADOR D</v>
      </c>
      <c r="D54" s="955">
        <v>3699374</v>
      </c>
      <c r="E54" s="949" t="s">
        <v>217</v>
      </c>
      <c r="F54" s="950"/>
      <c r="G54" s="950"/>
      <c r="H54" s="950"/>
      <c r="I54" s="950"/>
      <c r="J54" s="950"/>
      <c r="K54" s="950"/>
      <c r="L54" s="950"/>
      <c r="M54" s="950"/>
      <c r="N54" s="950"/>
      <c r="O54" s="950"/>
      <c r="P54" s="950"/>
      <c r="Q54" s="950" t="s">
        <v>362</v>
      </c>
      <c r="R54" s="950" t="s">
        <v>362</v>
      </c>
      <c r="S54" s="950" t="s">
        <v>362</v>
      </c>
      <c r="T54" s="950" t="s">
        <v>362</v>
      </c>
      <c r="U54" s="950" t="s">
        <v>362</v>
      </c>
      <c r="V54" s="950" t="s">
        <v>362</v>
      </c>
      <c r="W54" s="950" t="s">
        <v>362</v>
      </c>
      <c r="X54" s="950" t="s">
        <v>362</v>
      </c>
      <c r="Y54" s="950" t="s">
        <v>362</v>
      </c>
      <c r="Z54" s="950" t="s">
        <v>362</v>
      </c>
      <c r="AA54" s="950" t="s">
        <v>362</v>
      </c>
      <c r="AB54" s="950" t="s">
        <v>362</v>
      </c>
      <c r="AC54" s="950" t="s">
        <v>362</v>
      </c>
      <c r="AD54" s="950" t="s">
        <v>362</v>
      </c>
      <c r="AE54" s="950" t="s">
        <v>362</v>
      </c>
      <c r="AF54" s="950" t="s">
        <v>362</v>
      </c>
      <c r="AG54" s="950" t="s">
        <v>362</v>
      </c>
      <c r="AH54" s="950" t="s">
        <v>362</v>
      </c>
      <c r="AI54" s="950" t="s">
        <v>362</v>
      </c>
      <c r="AJ54" s="950" t="s">
        <v>362</v>
      </c>
      <c r="AK54" s="958"/>
      <c r="AM54" s="723"/>
      <c r="AN54" s="723"/>
      <c r="AO54" s="722"/>
      <c r="AP54" s="965"/>
      <c r="AQ54" s="965"/>
      <c r="AR54" s="964"/>
      <c r="AS54" s="964"/>
    </row>
    <row r="55" spans="1:45" ht="20.25" customHeight="1" x14ac:dyDescent="0.2">
      <c r="A55" s="949">
        <f>VLOOKUP(D55,EFETIVO!$C$2:$D$223,2,0)</f>
        <v>90</v>
      </c>
      <c r="B55" s="976" t="str">
        <f>VLOOKUP(D55,EFETIVO!$F$2:$G$127,2,0)</f>
        <v>CB RAIAN</v>
      </c>
      <c r="C55" s="978" t="str">
        <f>VLOOKUP(D55,EFETIVO!$F:$H,3,0)</f>
        <v>OPERADOR D</v>
      </c>
      <c r="D55" s="955">
        <v>4190939</v>
      </c>
      <c r="E55" s="949" t="s">
        <v>217</v>
      </c>
      <c r="F55" s="950"/>
      <c r="G55" s="950"/>
      <c r="H55" s="950"/>
      <c r="I55" s="950"/>
      <c r="J55" s="950"/>
      <c r="K55" s="950"/>
      <c r="L55" s="950"/>
      <c r="M55" s="950"/>
      <c r="N55" s="950"/>
      <c r="O55" s="950"/>
      <c r="P55" s="950"/>
      <c r="Q55" s="950"/>
      <c r="R55" s="950"/>
      <c r="S55" s="950"/>
      <c r="T55" s="950" t="s">
        <v>350</v>
      </c>
      <c r="U55" s="950"/>
      <c r="V55" s="950"/>
      <c r="W55" s="950"/>
      <c r="X55" s="950"/>
      <c r="Y55" s="950"/>
      <c r="Z55" s="950"/>
      <c r="AA55" s="950"/>
      <c r="AB55" s="950"/>
      <c r="AC55" s="950"/>
      <c r="AD55" s="950"/>
      <c r="AE55" s="950"/>
      <c r="AF55" s="950"/>
      <c r="AG55" s="950"/>
      <c r="AH55" s="962"/>
      <c r="AI55" s="962"/>
      <c r="AJ55" s="962"/>
      <c r="AK55" s="1013"/>
      <c r="AM55" s="723"/>
      <c r="AN55" s="723"/>
      <c r="AO55" s="722"/>
      <c r="AP55" s="965"/>
      <c r="AQ55" s="965"/>
      <c r="AR55" s="964"/>
      <c r="AS55" s="964"/>
    </row>
    <row r="56" spans="1:45" ht="20.25" customHeight="1" x14ac:dyDescent="0.2">
      <c r="A56" s="949">
        <f>VLOOKUP(D56,EFETIVO!$C$2:$D$223,2,0)</f>
        <v>102</v>
      </c>
      <c r="B56" s="976" t="str">
        <f>VLOOKUP(D56,EFETIVO!$F$2:$G$127,2,0)</f>
        <v>SD BRANDÃO</v>
      </c>
      <c r="C56" s="978" t="str">
        <f>VLOOKUP(D56,EFETIVO!$F:$H,3,0)</f>
        <v>OPERADOR</v>
      </c>
      <c r="D56" s="955">
        <v>4749898</v>
      </c>
      <c r="E56" s="949" t="s">
        <v>217</v>
      </c>
      <c r="F56" s="950"/>
      <c r="G56" s="950"/>
      <c r="H56" s="950"/>
      <c r="I56" s="950"/>
      <c r="J56" s="950"/>
      <c r="K56" s="950"/>
      <c r="L56" s="950" t="s">
        <v>350</v>
      </c>
      <c r="M56" s="950"/>
      <c r="N56" s="950"/>
      <c r="O56" s="950"/>
      <c r="P56" s="950"/>
      <c r="Q56" s="950" t="s">
        <v>362</v>
      </c>
      <c r="R56" s="950" t="s">
        <v>362</v>
      </c>
      <c r="S56" s="950" t="s">
        <v>362</v>
      </c>
      <c r="T56" s="950" t="s">
        <v>362</v>
      </c>
      <c r="U56" s="950" t="s">
        <v>362</v>
      </c>
      <c r="V56" s="950" t="s">
        <v>362</v>
      </c>
      <c r="W56" s="950" t="s">
        <v>362</v>
      </c>
      <c r="X56" s="950" t="s">
        <v>362</v>
      </c>
      <c r="Y56" s="950" t="s">
        <v>362</v>
      </c>
      <c r="Z56" s="950" t="s">
        <v>362</v>
      </c>
      <c r="AA56" s="950" t="s">
        <v>362</v>
      </c>
      <c r="AB56" s="950" t="s">
        <v>362</v>
      </c>
      <c r="AC56" s="950" t="s">
        <v>362</v>
      </c>
      <c r="AD56" s="950" t="s">
        <v>362</v>
      </c>
      <c r="AE56" s="950" t="s">
        <v>362</v>
      </c>
      <c r="AF56" s="950" t="s">
        <v>362</v>
      </c>
      <c r="AG56" s="950" t="s">
        <v>362</v>
      </c>
      <c r="AH56" s="950" t="s">
        <v>362</v>
      </c>
      <c r="AI56" s="950" t="s">
        <v>362</v>
      </c>
      <c r="AJ56" s="950" t="s">
        <v>362</v>
      </c>
      <c r="AK56" s="957"/>
      <c r="AM56" s="723"/>
      <c r="AN56" s="723"/>
      <c r="AO56" s="722"/>
      <c r="AP56" s="965"/>
      <c r="AQ56" s="965"/>
      <c r="AR56" s="964"/>
      <c r="AS56" s="964"/>
    </row>
    <row r="57" spans="1:45" ht="20.25" customHeight="1" x14ac:dyDescent="0.2">
      <c r="A57" s="949">
        <f>VLOOKUP(D57,EFETIVO!$C$2:$D$223,2,0)</f>
        <v>104</v>
      </c>
      <c r="B57" s="976" t="str">
        <f>VLOOKUP(D57,EFETIVO!$F$2:$G$127,2,0)</f>
        <v>SD RITA</v>
      </c>
      <c r="C57" s="978" t="str">
        <f>VLOOKUP(D57,EFETIVO!$F:$H,3,0)</f>
        <v>OPERADOR</v>
      </c>
      <c r="D57" s="955">
        <v>4750799</v>
      </c>
      <c r="E57" s="949" t="s">
        <v>217</v>
      </c>
      <c r="F57" s="950"/>
      <c r="G57" s="950"/>
      <c r="H57" s="950"/>
      <c r="I57" s="950"/>
      <c r="J57" s="950"/>
      <c r="K57" s="950"/>
      <c r="L57" s="950"/>
      <c r="M57" s="950"/>
      <c r="N57" s="950"/>
      <c r="O57" s="950"/>
      <c r="P57" s="950" t="s">
        <v>350</v>
      </c>
      <c r="Q57" s="950"/>
      <c r="R57" s="950"/>
      <c r="S57" s="950"/>
      <c r="T57" s="950"/>
      <c r="U57" s="950"/>
      <c r="V57" s="950"/>
      <c r="W57" s="950"/>
      <c r="X57" s="950"/>
      <c r="Y57" s="950"/>
      <c r="Z57" s="950"/>
      <c r="AA57" s="950"/>
      <c r="AB57" s="950"/>
      <c r="AC57" s="950"/>
      <c r="AD57" s="950"/>
      <c r="AE57" s="950"/>
      <c r="AF57" s="950"/>
      <c r="AG57" s="950"/>
      <c r="AH57" s="950"/>
      <c r="AI57" s="950"/>
      <c r="AJ57" s="962"/>
      <c r="AK57" s="957"/>
      <c r="AM57" s="1158"/>
      <c r="AN57" s="1158"/>
      <c r="AO57" s="1158"/>
      <c r="AP57" s="1158"/>
      <c r="AQ57" s="965"/>
      <c r="AR57" s="964"/>
      <c r="AS57" s="964"/>
    </row>
    <row r="58" spans="1:45" ht="20.25" customHeight="1" x14ac:dyDescent="0.2">
      <c r="A58" s="949">
        <f>VLOOKUP(D58,EFETIVO!$C$2:$D$223,2,0)</f>
        <v>42</v>
      </c>
      <c r="B58" s="976" t="str">
        <f>VLOOKUP(D58,EFETIVO!$F$2:$G$127,2,0)</f>
        <v>3º SGT HUMBERTO</v>
      </c>
      <c r="C58" s="978" t="str">
        <f>VLOOKUP(D58,EFETIVO!$F:$H,3,0)</f>
        <v>CHEFE</v>
      </c>
      <c r="D58" s="955">
        <v>3270149</v>
      </c>
      <c r="E58" s="949" t="s">
        <v>218</v>
      </c>
      <c r="F58" s="950"/>
      <c r="G58" s="950"/>
      <c r="H58" s="950"/>
      <c r="I58" s="950"/>
      <c r="J58" s="950"/>
      <c r="K58" s="950"/>
      <c r="L58" s="950"/>
      <c r="M58" s="950"/>
      <c r="N58" s="950"/>
      <c r="O58" s="950"/>
      <c r="P58" s="950"/>
      <c r="Q58" s="950"/>
      <c r="R58" s="950"/>
      <c r="S58" s="950"/>
      <c r="T58" s="950"/>
      <c r="U58" s="950"/>
      <c r="V58" s="950"/>
      <c r="W58" s="950"/>
      <c r="X58" s="950"/>
      <c r="Y58" s="950"/>
      <c r="Z58" s="950"/>
      <c r="AA58" s="950"/>
      <c r="AB58" s="950"/>
      <c r="AC58" s="950"/>
      <c r="AD58" s="950"/>
      <c r="AE58" s="950"/>
      <c r="AF58" s="950"/>
      <c r="AG58" s="950"/>
      <c r="AH58" s="950"/>
      <c r="AI58" s="950"/>
      <c r="AJ58" s="950"/>
      <c r="AK58" s="1023"/>
      <c r="AM58" s="1157"/>
      <c r="AN58" s="1157"/>
      <c r="AO58" s="1157"/>
      <c r="AP58" s="1157"/>
      <c r="AQ58" s="966"/>
      <c r="AR58" s="964"/>
      <c r="AS58" s="964"/>
    </row>
    <row r="59" spans="1:45" ht="20.25" customHeight="1" x14ac:dyDescent="0.2">
      <c r="A59" s="949">
        <f>VLOOKUP(D59,EFETIVO!$C$2:$D$223,2,0)</f>
        <v>54</v>
      </c>
      <c r="B59" s="976" t="str">
        <f>VLOOKUP(D59,EFETIVO!$F$2:$G$127,2,0)</f>
        <v>CB VINICIUS CORDEIRO</v>
      </c>
      <c r="C59" s="978" t="str">
        <f>VLOOKUP(D59,EFETIVO!$F:$H,3,0)</f>
        <v>CONDUTOR B</v>
      </c>
      <c r="D59" s="955">
        <v>3269515</v>
      </c>
      <c r="E59" s="949" t="s">
        <v>218</v>
      </c>
      <c r="F59" s="950"/>
      <c r="G59" s="950"/>
      <c r="H59" s="950"/>
      <c r="I59" s="950"/>
      <c r="J59" s="950"/>
      <c r="K59" s="950"/>
      <c r="L59" s="950"/>
      <c r="M59" s="950"/>
      <c r="N59" s="950"/>
      <c r="O59" s="950"/>
      <c r="P59" s="950"/>
      <c r="Q59" s="950"/>
      <c r="R59" s="950"/>
      <c r="S59" s="950"/>
      <c r="T59" s="950"/>
      <c r="U59" s="950"/>
      <c r="V59" s="950"/>
      <c r="W59" s="950"/>
      <c r="X59" s="950"/>
      <c r="Y59" s="950"/>
      <c r="Z59" s="950"/>
      <c r="AA59" s="950"/>
      <c r="AB59" s="950"/>
      <c r="AC59" s="950"/>
      <c r="AD59" s="950"/>
      <c r="AE59" s="950"/>
      <c r="AF59" s="950"/>
      <c r="AG59" s="950"/>
      <c r="AH59" s="950"/>
      <c r="AI59" s="950"/>
      <c r="AJ59" s="962"/>
      <c r="AK59" s="958"/>
      <c r="AM59" s="723"/>
      <c r="AN59" s="723"/>
      <c r="AO59" s="722"/>
      <c r="AP59" s="965"/>
      <c r="AQ59" s="964"/>
      <c r="AR59" s="964"/>
      <c r="AS59" s="964"/>
    </row>
    <row r="60" spans="1:45" ht="20.25" customHeight="1" x14ac:dyDescent="0.2">
      <c r="A60" s="949">
        <f>VLOOKUP(D60,EFETIVO!$C$2:$D$223,2,0)</f>
        <v>69</v>
      </c>
      <c r="B60" s="976" t="str">
        <f>VLOOKUP(D60,EFETIVO!$F$2:$G$127,2,0)</f>
        <v>CB BEATRIZ</v>
      </c>
      <c r="C60" s="978" t="str">
        <f>VLOOKUP(D60,EFETIVO!$F:$H,3,0)</f>
        <v>CONDUTOR</v>
      </c>
      <c r="D60" s="955">
        <v>3669777</v>
      </c>
      <c r="E60" s="949" t="s">
        <v>218</v>
      </c>
      <c r="F60" s="950"/>
      <c r="G60" s="950"/>
      <c r="H60" s="950"/>
      <c r="I60" s="950"/>
      <c r="J60" s="950"/>
      <c r="K60" s="950"/>
      <c r="L60" s="950"/>
      <c r="M60" s="950"/>
      <c r="N60" s="950"/>
      <c r="O60" s="950"/>
      <c r="P60" s="950"/>
      <c r="Q60" s="950"/>
      <c r="R60" s="950"/>
      <c r="S60" s="950"/>
      <c r="T60" s="950"/>
      <c r="U60" s="950"/>
      <c r="V60" s="950"/>
      <c r="W60" s="950"/>
      <c r="X60" s="950"/>
      <c r="Y60" s="950"/>
      <c r="Z60" s="950"/>
      <c r="AA60" s="950"/>
      <c r="AB60" s="950"/>
      <c r="AC60" s="950"/>
      <c r="AD60" s="950"/>
      <c r="AE60" s="950"/>
      <c r="AF60" s="950"/>
      <c r="AG60" s="950"/>
      <c r="AH60" s="962"/>
      <c r="AI60" s="962"/>
      <c r="AJ60" s="962"/>
      <c r="AK60" s="958"/>
      <c r="AM60" s="723"/>
      <c r="AN60" s="723"/>
      <c r="AO60" s="722"/>
      <c r="AP60" s="965"/>
      <c r="AQ60" s="964"/>
      <c r="AR60" s="964"/>
      <c r="AS60" s="964"/>
    </row>
    <row r="61" spans="1:45" ht="20.25" customHeight="1" x14ac:dyDescent="0.2">
      <c r="A61" s="949">
        <f>VLOOKUP(D61,EFETIVO!$C$2:$D$223,2,0)</f>
        <v>33</v>
      </c>
      <c r="B61" s="976" t="str">
        <f>VLOOKUP(D61,EFETIVO!$F$2:$G$127,2,0)</f>
        <v>2º SGT ALEXANDRE</v>
      </c>
      <c r="C61" s="978" t="str">
        <f>VLOOKUP(D61,EFETIVO!$F:$H,3,0)</f>
        <v>CHEFE</v>
      </c>
      <c r="D61" s="955">
        <v>2981823</v>
      </c>
      <c r="E61" s="949" t="s">
        <v>219</v>
      </c>
      <c r="F61" s="950"/>
      <c r="G61" s="950"/>
      <c r="H61" s="950"/>
      <c r="I61" s="950"/>
      <c r="J61" s="950"/>
      <c r="K61" s="950"/>
      <c r="L61" s="950"/>
      <c r="M61" s="950"/>
      <c r="N61" s="950"/>
      <c r="O61" s="950"/>
      <c r="P61" s="950"/>
      <c r="Q61" s="950"/>
      <c r="R61" s="950"/>
      <c r="S61" s="950"/>
      <c r="T61" s="950"/>
      <c r="U61" s="950"/>
      <c r="V61" s="950"/>
      <c r="W61" s="950"/>
      <c r="X61" s="950"/>
      <c r="Y61" s="950"/>
      <c r="Z61" s="950"/>
      <c r="AA61" s="950"/>
      <c r="AB61" s="950"/>
      <c r="AC61" s="950"/>
      <c r="AD61" s="950"/>
      <c r="AE61" s="950"/>
      <c r="AF61" s="950"/>
      <c r="AG61" s="950"/>
      <c r="AH61" s="962"/>
      <c r="AI61" s="962"/>
      <c r="AJ61" s="962"/>
      <c r="AK61" s="957"/>
      <c r="AM61" s="723"/>
      <c r="AN61" s="723"/>
      <c r="AO61" s="722"/>
      <c r="AP61" s="965"/>
      <c r="AQ61" s="964"/>
      <c r="AR61" s="964"/>
      <c r="AS61" s="964"/>
    </row>
    <row r="62" spans="1:45" ht="20.25" customHeight="1" x14ac:dyDescent="0.2">
      <c r="A62" s="949">
        <f>VLOOKUP(D62,EFETIVO!$C$2:$D$223,2,0)</f>
        <v>40</v>
      </c>
      <c r="B62" s="976" t="str">
        <f>VLOOKUP(D62,EFETIVO!$F$2:$G$127,2,0)</f>
        <v>3º SGT RHUAN</v>
      </c>
      <c r="C62" s="978" t="str">
        <f>VLOOKUP(D62,EFETIVO!$F:$H,3,0)</f>
        <v>CHEFE</v>
      </c>
      <c r="D62" s="955">
        <v>3270181</v>
      </c>
      <c r="E62" s="949" t="s">
        <v>219</v>
      </c>
      <c r="F62" s="950" t="s">
        <v>228</v>
      </c>
      <c r="G62" s="950" t="s">
        <v>228</v>
      </c>
      <c r="H62" s="950" t="s">
        <v>228</v>
      </c>
      <c r="I62" s="950" t="s">
        <v>228</v>
      </c>
      <c r="J62" s="950" t="s">
        <v>228</v>
      </c>
      <c r="K62" s="950" t="s">
        <v>228</v>
      </c>
      <c r="L62" s="950" t="s">
        <v>228</v>
      </c>
      <c r="M62" s="950" t="s">
        <v>228</v>
      </c>
      <c r="N62" s="950" t="s">
        <v>228</v>
      </c>
      <c r="O62" s="950" t="s">
        <v>228</v>
      </c>
      <c r="P62" s="950" t="s">
        <v>228</v>
      </c>
      <c r="Q62" s="950" t="s">
        <v>228</v>
      </c>
      <c r="R62" s="950" t="s">
        <v>228</v>
      </c>
      <c r="S62" s="950" t="s">
        <v>228</v>
      </c>
      <c r="T62" s="950" t="s">
        <v>228</v>
      </c>
      <c r="U62" s="950" t="s">
        <v>228</v>
      </c>
      <c r="V62" s="950" t="s">
        <v>228</v>
      </c>
      <c r="W62" s="950" t="s">
        <v>228</v>
      </c>
      <c r="X62" s="950"/>
      <c r="Y62" s="950"/>
      <c r="Z62" s="950"/>
      <c r="AA62" s="950"/>
      <c r="AB62" s="950"/>
      <c r="AC62" s="950"/>
      <c r="AD62" s="950"/>
      <c r="AE62" s="950"/>
      <c r="AF62" s="950"/>
      <c r="AG62" s="950"/>
      <c r="AH62" s="950"/>
      <c r="AI62" s="950"/>
      <c r="AJ62" s="962"/>
      <c r="AK62" s="957"/>
      <c r="AM62" s="723"/>
      <c r="AN62" s="723"/>
      <c r="AO62" s="722"/>
      <c r="AP62" s="965"/>
      <c r="AQ62" s="964"/>
      <c r="AR62" s="964"/>
      <c r="AS62" s="964"/>
    </row>
    <row r="63" spans="1:45" ht="20.25" customHeight="1" x14ac:dyDescent="0.2">
      <c r="A63" s="949">
        <f>VLOOKUP(D63,EFETIVO!$C$2:$D$223,2,0)</f>
        <v>64</v>
      </c>
      <c r="B63" s="976" t="str">
        <f>VLOOKUP(D63,EFETIVO!$F$2:$G$127,2,0)</f>
        <v>CB VAZ</v>
      </c>
      <c r="C63" s="978" t="str">
        <f>VLOOKUP(D63,EFETIVO!$F:$H,3,0)</f>
        <v>CONDUTOR</v>
      </c>
      <c r="D63" s="955">
        <v>3477363</v>
      </c>
      <c r="E63" s="949" t="s">
        <v>219</v>
      </c>
      <c r="F63" s="950"/>
      <c r="G63" s="950"/>
      <c r="H63" s="950"/>
      <c r="I63" s="950"/>
      <c r="J63" s="950"/>
      <c r="K63" s="950"/>
      <c r="L63" s="950"/>
      <c r="M63" s="950"/>
      <c r="N63" s="950"/>
      <c r="O63" s="950"/>
      <c r="P63" s="950"/>
      <c r="Q63" s="950"/>
      <c r="R63" s="950"/>
      <c r="S63" s="950"/>
      <c r="T63" s="950"/>
      <c r="U63" s="950"/>
      <c r="V63" s="950"/>
      <c r="W63" s="950"/>
      <c r="X63" s="950"/>
      <c r="Y63" s="950"/>
      <c r="Z63" s="950"/>
      <c r="AA63" s="950"/>
      <c r="AB63" s="950"/>
      <c r="AC63" s="950"/>
      <c r="AD63" s="950"/>
      <c r="AE63" s="950"/>
      <c r="AF63" s="950"/>
      <c r="AG63" s="950"/>
      <c r="AH63" s="950"/>
      <c r="AI63" s="950"/>
      <c r="AJ63" s="950"/>
      <c r="AK63" s="933"/>
      <c r="AM63" s="723"/>
      <c r="AN63" s="723"/>
      <c r="AO63" s="722"/>
      <c r="AP63" s="965"/>
      <c r="AQ63" s="964"/>
      <c r="AR63" s="964"/>
      <c r="AS63" s="964"/>
    </row>
    <row r="64" spans="1:45" ht="20.25" customHeight="1" x14ac:dyDescent="0.2">
      <c r="A64" s="949">
        <f>VLOOKUP(D64,EFETIVO!$C$2:$D$223,2,0)</f>
        <v>86</v>
      </c>
      <c r="B64" s="976" t="str">
        <f>VLOOKUP(D64,EFETIVO!$F$2:$G$127,2,0)</f>
        <v>CB ELEUTÉRIO</v>
      </c>
      <c r="C64" s="978" t="str">
        <f>VLOOKUP(D64,EFETIVO!$F:$H,3,0)</f>
        <v>CONDUTOR</v>
      </c>
      <c r="D64" s="955">
        <v>4150732</v>
      </c>
      <c r="E64" s="949" t="s">
        <v>219</v>
      </c>
      <c r="F64" s="950" t="s">
        <v>228</v>
      </c>
      <c r="G64" s="950" t="s">
        <v>228</v>
      </c>
      <c r="H64" s="950" t="s">
        <v>228</v>
      </c>
      <c r="I64" s="950" t="s">
        <v>228</v>
      </c>
      <c r="J64" s="950" t="s">
        <v>228</v>
      </c>
      <c r="K64" s="950" t="s">
        <v>228</v>
      </c>
      <c r="L64" s="950" t="s">
        <v>228</v>
      </c>
      <c r="M64" s="950" t="s">
        <v>228</v>
      </c>
      <c r="N64" s="950" t="s">
        <v>228</v>
      </c>
      <c r="O64" s="950" t="s">
        <v>228</v>
      </c>
      <c r="P64" s="950" t="s">
        <v>228</v>
      </c>
      <c r="Q64" s="950" t="s">
        <v>228</v>
      </c>
      <c r="R64" s="950" t="s">
        <v>228</v>
      </c>
      <c r="S64" s="950" t="s">
        <v>228</v>
      </c>
      <c r="T64" s="950" t="s">
        <v>228</v>
      </c>
      <c r="U64" s="950" t="s">
        <v>228</v>
      </c>
      <c r="V64" s="950" t="s">
        <v>228</v>
      </c>
      <c r="W64" s="950" t="s">
        <v>228</v>
      </c>
      <c r="X64" s="950"/>
      <c r="Y64" s="950"/>
      <c r="Z64" s="950"/>
      <c r="AA64" s="950"/>
      <c r="AB64" s="950"/>
      <c r="AC64" s="950"/>
      <c r="AD64" s="950"/>
      <c r="AE64" s="950"/>
      <c r="AF64" s="950"/>
      <c r="AG64" s="950"/>
      <c r="AH64" s="950"/>
      <c r="AI64" s="950"/>
      <c r="AJ64" s="962"/>
      <c r="AK64" s="959"/>
      <c r="AM64" s="723"/>
      <c r="AN64" s="723"/>
      <c r="AO64" s="722"/>
      <c r="AP64" s="965"/>
      <c r="AQ64" s="964"/>
      <c r="AR64" s="964"/>
      <c r="AS64" s="964"/>
    </row>
    <row r="65" spans="1:45" ht="20.25" customHeight="1" x14ac:dyDescent="0.2">
      <c r="A65" s="949">
        <f>VLOOKUP(D65,EFETIVO!$C$2:$D$223,2,0)</f>
        <v>107</v>
      </c>
      <c r="B65" s="976" t="str">
        <f>VLOOKUP(D65,EFETIVO!$F$2:$G$127,2,0)</f>
        <v>SD MARCHESI</v>
      </c>
      <c r="C65" s="978" t="str">
        <f>VLOOKUP(D65,EFETIVO!$F:$H,3,0)</f>
        <v>OPERADOR</v>
      </c>
      <c r="D65" s="955">
        <v>4749880</v>
      </c>
      <c r="E65" s="949" t="s">
        <v>219</v>
      </c>
      <c r="F65" s="950"/>
      <c r="G65" s="950"/>
      <c r="H65" s="950"/>
      <c r="I65" s="950"/>
      <c r="J65" s="950"/>
      <c r="K65" s="950"/>
      <c r="L65" s="950"/>
      <c r="M65" s="950"/>
      <c r="N65" s="950"/>
      <c r="O65" s="950"/>
      <c r="P65" s="950"/>
      <c r="Q65" s="950"/>
      <c r="R65" s="950"/>
      <c r="S65" s="950"/>
      <c r="T65" s="950"/>
      <c r="U65" s="950"/>
      <c r="V65" s="950"/>
      <c r="W65" s="950"/>
      <c r="X65" s="950"/>
      <c r="Y65" s="950"/>
      <c r="Z65" s="950"/>
      <c r="AA65" s="950"/>
      <c r="AB65" s="950"/>
      <c r="AC65" s="950"/>
      <c r="AD65" s="950"/>
      <c r="AE65" s="950"/>
      <c r="AF65" s="950"/>
      <c r="AG65" s="950"/>
      <c r="AH65" s="962"/>
      <c r="AI65" s="962"/>
      <c r="AJ65" s="962"/>
      <c r="AK65" s="958"/>
      <c r="AM65" s="723"/>
      <c r="AN65" s="723"/>
      <c r="AO65" s="722"/>
      <c r="AP65" s="965"/>
      <c r="AQ65" s="964"/>
      <c r="AR65" s="964"/>
      <c r="AS65" s="964"/>
    </row>
    <row r="66" spans="1:45" ht="20.25" customHeight="1" x14ac:dyDescent="0.2">
      <c r="A66" s="949">
        <f>VLOOKUP(D66,EFETIVO!$C$2:$D$223,2,0)</f>
        <v>41</v>
      </c>
      <c r="B66" s="976" t="str">
        <f>VLOOKUP(D66,EFETIVO!$F$2:$G$127,2,0)</f>
        <v>3º SGT RAFAEL</v>
      </c>
      <c r="C66" s="978" t="str">
        <f>VLOOKUP(D66,EFETIVO!$F:$H,3,0)</f>
        <v>CHEFE</v>
      </c>
      <c r="D66" s="955">
        <v>3036464</v>
      </c>
      <c r="E66" s="949" t="s">
        <v>220</v>
      </c>
      <c r="F66" s="950"/>
      <c r="G66" s="950"/>
      <c r="H66" s="950"/>
      <c r="I66" s="950"/>
      <c r="J66" s="950"/>
      <c r="K66" s="950"/>
      <c r="L66" s="950"/>
      <c r="M66" s="950"/>
      <c r="N66" s="950"/>
      <c r="O66" s="950"/>
      <c r="P66" s="950"/>
      <c r="Q66" s="950"/>
      <c r="R66" s="950"/>
      <c r="S66" s="950"/>
      <c r="T66" s="950"/>
      <c r="U66" s="950"/>
      <c r="V66" s="950"/>
      <c r="W66" s="950"/>
      <c r="X66" s="950"/>
      <c r="Y66" s="950"/>
      <c r="Z66" s="950"/>
      <c r="AA66" s="950"/>
      <c r="AB66" s="950"/>
      <c r="AC66" s="950"/>
      <c r="AD66" s="950"/>
      <c r="AE66" s="950"/>
      <c r="AF66" s="950"/>
      <c r="AG66" s="950"/>
      <c r="AH66" s="962"/>
      <c r="AI66" s="962"/>
      <c r="AJ66" s="962"/>
      <c r="AK66" s="957"/>
      <c r="AM66" s="723"/>
      <c r="AN66" s="723"/>
      <c r="AO66" s="722"/>
      <c r="AP66" s="965"/>
      <c r="AQ66" s="964"/>
      <c r="AR66" s="964"/>
      <c r="AS66" s="964"/>
    </row>
    <row r="67" spans="1:45" ht="20.25" customHeight="1" x14ac:dyDescent="0.2">
      <c r="A67" s="949">
        <f>VLOOKUP(D67,EFETIVO!$C$2:$D$223,2,0)</f>
        <v>50</v>
      </c>
      <c r="B67" s="976" t="str">
        <f>VLOOKUP(D67,EFETIVO!$F$2:$G$127,2,0)</f>
        <v xml:space="preserve">CB ALVARENGA </v>
      </c>
      <c r="C67" s="978" t="str">
        <f>VLOOKUP(D67,EFETIVO!$F:$H,3,0)</f>
        <v>CONDUTOR</v>
      </c>
      <c r="D67" s="955">
        <v>3132170</v>
      </c>
      <c r="E67" s="949" t="s">
        <v>220</v>
      </c>
      <c r="F67" s="950"/>
      <c r="G67" s="950"/>
      <c r="H67" s="950"/>
      <c r="I67" s="950"/>
      <c r="J67" s="950"/>
      <c r="K67" s="950"/>
      <c r="L67" s="950"/>
      <c r="M67" s="950"/>
      <c r="N67" s="950"/>
      <c r="O67" s="950"/>
      <c r="P67" s="950"/>
      <c r="Q67" s="950"/>
      <c r="R67" s="950"/>
      <c r="S67" s="950"/>
      <c r="T67" s="950"/>
      <c r="U67" s="950"/>
      <c r="V67" s="950"/>
      <c r="W67" s="950"/>
      <c r="X67" s="950"/>
      <c r="Y67" s="950"/>
      <c r="Z67" s="950"/>
      <c r="AA67" s="950"/>
      <c r="AB67" s="950"/>
      <c r="AC67" s="950"/>
      <c r="AD67" s="950"/>
      <c r="AE67" s="950"/>
      <c r="AF67" s="950"/>
      <c r="AG67" s="950"/>
      <c r="AH67" s="950"/>
      <c r="AI67" s="950"/>
      <c r="AJ67" s="950"/>
      <c r="AK67" s="956"/>
      <c r="AM67" s="723"/>
      <c r="AN67" s="723"/>
      <c r="AO67" s="722"/>
      <c r="AP67" s="965"/>
      <c r="AQ67" s="964"/>
      <c r="AR67" s="964"/>
      <c r="AS67" s="964"/>
    </row>
    <row r="68" spans="1:45" ht="20.25" customHeight="1" x14ac:dyDescent="0.2">
      <c r="A68" s="949">
        <f>VLOOKUP(D68,EFETIVO!$C$2:$D$223,2,0)</f>
        <v>94</v>
      </c>
      <c r="B68" s="976" t="str">
        <f>VLOOKUP(D68,EFETIVO!$F$2:$G$127,2,0)</f>
        <v>SD PELICIONI</v>
      </c>
      <c r="C68" s="978" t="str">
        <f>VLOOKUP(D68,EFETIVO!$F:$H,3,0)</f>
        <v>OPERADOR</v>
      </c>
      <c r="D68" s="955">
        <v>4750527</v>
      </c>
      <c r="E68" s="949" t="s">
        <v>220</v>
      </c>
      <c r="F68" s="950"/>
      <c r="G68" s="950"/>
      <c r="H68" s="950"/>
      <c r="I68" s="950"/>
      <c r="J68" s="950"/>
      <c r="K68" s="950"/>
      <c r="L68" s="950"/>
      <c r="M68" s="950"/>
      <c r="N68" s="950"/>
      <c r="O68" s="950"/>
      <c r="P68" s="950"/>
      <c r="Q68" s="950"/>
      <c r="R68" s="950"/>
      <c r="S68" s="950"/>
      <c r="T68" s="950"/>
      <c r="U68" s="950"/>
      <c r="V68" s="950"/>
      <c r="W68" s="950"/>
      <c r="X68" s="950"/>
      <c r="Y68" s="950"/>
      <c r="Z68" s="950"/>
      <c r="AA68" s="950"/>
      <c r="AB68" s="950"/>
      <c r="AC68" s="950"/>
      <c r="AD68" s="950"/>
      <c r="AE68" s="950"/>
      <c r="AF68" s="950"/>
      <c r="AG68" s="950"/>
      <c r="AH68" s="962"/>
      <c r="AI68" s="962"/>
      <c r="AJ68" s="962"/>
      <c r="AK68" s="957"/>
      <c r="AM68" s="723"/>
      <c r="AN68" s="723"/>
      <c r="AO68" s="722"/>
      <c r="AP68" s="965"/>
      <c r="AQ68" s="964"/>
      <c r="AR68" s="964"/>
      <c r="AS68" s="964"/>
    </row>
    <row r="69" spans="1:45" ht="20.25" customHeight="1" x14ac:dyDescent="0.2">
      <c r="A69" s="949">
        <f>VLOOKUP(D69,EFETIVO!$C$2:$D$223,2,0)</f>
        <v>46</v>
      </c>
      <c r="B69" s="976" t="str">
        <f>VLOOKUP(D69,EFETIVO!$F$2:$G$127,2,0)</f>
        <v>3º SGT  DAN</v>
      </c>
      <c r="C69" s="978" t="str">
        <f>VLOOKUP(D69,EFETIVO!$F:$H,3,0)</f>
        <v>CHEFE</v>
      </c>
      <c r="D69" s="955">
        <v>3477185</v>
      </c>
      <c r="E69" s="949" t="s">
        <v>226</v>
      </c>
      <c r="F69" s="950"/>
      <c r="G69" s="950"/>
      <c r="H69" s="950"/>
      <c r="I69" s="950"/>
      <c r="J69" s="950"/>
      <c r="K69" s="950"/>
      <c r="L69" s="950"/>
      <c r="M69" s="950"/>
      <c r="N69" s="950"/>
      <c r="O69" s="950"/>
      <c r="P69" s="950"/>
      <c r="Q69" s="950"/>
      <c r="R69" s="950"/>
      <c r="S69" s="950"/>
      <c r="T69" s="950"/>
      <c r="U69" s="950"/>
      <c r="V69" s="950"/>
      <c r="W69" s="950"/>
      <c r="X69" s="950"/>
      <c r="Y69" s="950"/>
      <c r="Z69" s="950"/>
      <c r="AA69" s="950"/>
      <c r="AB69" s="950"/>
      <c r="AC69" s="950"/>
      <c r="AD69" s="950"/>
      <c r="AE69" s="950"/>
      <c r="AF69" s="950"/>
      <c r="AG69" s="950"/>
      <c r="AH69" s="962"/>
      <c r="AI69" s="962"/>
      <c r="AJ69" s="962"/>
      <c r="AK69" s="958"/>
      <c r="AM69" s="723"/>
      <c r="AN69" s="723"/>
      <c r="AO69" s="722"/>
      <c r="AP69" s="965"/>
      <c r="AQ69" s="964"/>
      <c r="AR69" s="964"/>
      <c r="AS69" s="964"/>
    </row>
    <row r="70" spans="1:45" ht="20.25" customHeight="1" x14ac:dyDescent="0.2">
      <c r="A70" s="949">
        <f>VLOOKUP(D70,EFETIVO!$C$2:$D$223,2,0)</f>
        <v>22</v>
      </c>
      <c r="B70" s="976" t="str">
        <f>VLOOKUP(D70,EFETIVO!$F$2:$G$127,2,0)</f>
        <v>2ºSGT CHAGAS</v>
      </c>
      <c r="C70" s="978" t="str">
        <f>VLOOKUP(D70,EFETIVO!$F:$H,3,0)</f>
        <v>CHEFE</v>
      </c>
      <c r="D70" s="955">
        <v>2777916</v>
      </c>
      <c r="E70" s="949" t="s">
        <v>292</v>
      </c>
      <c r="F70" s="950"/>
      <c r="G70" s="950"/>
      <c r="H70" s="950"/>
      <c r="I70" s="950"/>
      <c r="J70" s="950"/>
      <c r="K70" s="950"/>
      <c r="L70" s="950"/>
      <c r="M70" s="950"/>
      <c r="N70" s="950"/>
      <c r="O70" s="950"/>
      <c r="P70" s="950"/>
      <c r="Q70" s="950"/>
      <c r="R70" s="950"/>
      <c r="S70" s="950"/>
      <c r="T70" s="950"/>
      <c r="U70" s="950"/>
      <c r="V70" s="950"/>
      <c r="W70" s="950"/>
      <c r="X70" s="950"/>
      <c r="Y70" s="950"/>
      <c r="Z70" s="950"/>
      <c r="AA70" s="950"/>
      <c r="AB70" s="950"/>
      <c r="AC70" s="950"/>
      <c r="AD70" s="950"/>
      <c r="AE70" s="950"/>
      <c r="AF70" s="950"/>
      <c r="AG70" s="950"/>
      <c r="AH70" s="950"/>
      <c r="AI70" s="950"/>
      <c r="AJ70" s="950"/>
      <c r="AK70" s="954"/>
      <c r="AM70" s="723"/>
      <c r="AN70" s="723"/>
      <c r="AO70" s="722"/>
      <c r="AP70" s="965"/>
      <c r="AQ70" s="964"/>
      <c r="AR70" s="964"/>
      <c r="AS70" s="964"/>
    </row>
    <row r="71" spans="1:45" ht="20.25" customHeight="1" x14ac:dyDescent="0.25">
      <c r="A71" s="949">
        <f>VLOOKUP(D71,EFETIVO!$C$2:$D$223,2,0)</f>
        <v>9</v>
      </c>
      <c r="B71" s="976" t="str">
        <f>VLOOKUP(D71,EFETIVO!$F$2:$G$127,2,0)</f>
        <v>2º TEN NOVAES</v>
      </c>
      <c r="C71" s="978" t="str">
        <f>VLOOKUP(D71,EFETIVO!$F:$H,3,0)</f>
        <v>CHEFE</v>
      </c>
      <c r="D71" s="972">
        <v>902291</v>
      </c>
      <c r="E71" s="949" t="s">
        <v>135</v>
      </c>
      <c r="F71" s="950"/>
      <c r="G71" s="950"/>
      <c r="H71" s="950"/>
      <c r="I71" s="950"/>
      <c r="J71" s="950"/>
      <c r="K71" s="950"/>
      <c r="L71" s="950"/>
      <c r="M71" s="950"/>
      <c r="N71" s="950"/>
      <c r="O71" s="950"/>
      <c r="P71" s="950"/>
      <c r="Q71" s="950"/>
      <c r="R71" s="950"/>
      <c r="S71" s="950"/>
      <c r="T71" s="950"/>
      <c r="U71" s="950"/>
      <c r="V71" s="950"/>
      <c r="W71" s="950"/>
      <c r="X71" s="950"/>
      <c r="Y71" s="950"/>
      <c r="Z71" s="950"/>
      <c r="AA71" s="950"/>
      <c r="AB71" s="950"/>
      <c r="AC71" s="950"/>
      <c r="AD71" s="950"/>
      <c r="AE71" s="950"/>
      <c r="AF71" s="950"/>
      <c r="AG71" s="950"/>
      <c r="AH71" s="950"/>
      <c r="AI71" s="950"/>
      <c r="AJ71" s="962"/>
      <c r="AK71" s="933"/>
      <c r="AM71" s="723"/>
      <c r="AN71" s="723"/>
      <c r="AO71" s="722"/>
      <c r="AP71" s="965"/>
      <c r="AQ71" s="964"/>
      <c r="AR71" s="964"/>
      <c r="AS71" s="964"/>
    </row>
    <row r="72" spans="1:45" ht="20.25" customHeight="1" x14ac:dyDescent="0.25">
      <c r="A72" s="949">
        <f>VLOOKUP(D72,EFETIVO!$C$2:$D$223,2,0)</f>
        <v>10</v>
      </c>
      <c r="B72" s="976" t="str">
        <f>VLOOKUP(D72,EFETIVO!$F$2:$G$127,2,0)</f>
        <v>2º TEN STTOFEL</v>
      </c>
      <c r="C72" s="978" t="str">
        <f>VLOOKUP(D72,EFETIVO!$F:$H,3,0)</f>
        <v>CHEFE</v>
      </c>
      <c r="D72" s="972">
        <v>902382</v>
      </c>
      <c r="E72" s="949" t="s">
        <v>135</v>
      </c>
      <c r="F72" s="950"/>
      <c r="G72" s="950"/>
      <c r="H72" s="950"/>
      <c r="I72" s="950"/>
      <c r="J72" s="950"/>
      <c r="K72" s="950"/>
      <c r="L72" s="950"/>
      <c r="M72" s="950"/>
      <c r="N72" s="950"/>
      <c r="O72" s="950"/>
      <c r="P72" s="950"/>
      <c r="Q72" s="950"/>
      <c r="R72" s="950"/>
      <c r="S72" s="950"/>
      <c r="T72" s="950"/>
      <c r="U72" s="950"/>
      <c r="V72" s="950"/>
      <c r="W72" s="950"/>
      <c r="X72" s="950"/>
      <c r="Y72" s="950"/>
      <c r="Z72" s="950"/>
      <c r="AA72" s="950"/>
      <c r="AB72" s="950"/>
      <c r="AC72" s="950"/>
      <c r="AD72" s="950"/>
      <c r="AE72" s="950"/>
      <c r="AF72" s="950"/>
      <c r="AG72" s="950"/>
      <c r="AH72" s="962"/>
      <c r="AI72" s="962"/>
      <c r="AJ72" s="962"/>
      <c r="AK72" s="980"/>
      <c r="AM72" s="723"/>
      <c r="AN72" s="723"/>
      <c r="AO72" s="722"/>
      <c r="AP72" s="965"/>
      <c r="AQ72" s="964"/>
      <c r="AR72" s="964"/>
      <c r="AS72" s="964"/>
    </row>
    <row r="73" spans="1:45" ht="20.25" customHeight="1" x14ac:dyDescent="0.2">
      <c r="A73" s="949">
        <f>VLOOKUP(D73,EFETIVO!$C$2:$D$223,2,0)</f>
        <v>15</v>
      </c>
      <c r="B73" s="976" t="str">
        <f>VLOOKUP(D73,EFETIVO!$F$2:$G$127,2,0)</f>
        <v>ST RENILDO</v>
      </c>
      <c r="C73" s="978" t="str">
        <f>VLOOKUP(D73,EFETIVO!$F:$H,3,0)</f>
        <v>CHEFE</v>
      </c>
      <c r="D73" s="955">
        <v>902930</v>
      </c>
      <c r="E73" s="949" t="s">
        <v>135</v>
      </c>
      <c r="F73" s="950"/>
      <c r="G73" s="950"/>
      <c r="H73" s="950"/>
      <c r="I73" s="950"/>
      <c r="J73" s="950"/>
      <c r="K73" s="950"/>
      <c r="L73" s="950"/>
      <c r="M73" s="950"/>
      <c r="N73" s="950"/>
      <c r="O73" s="950"/>
      <c r="P73" s="950"/>
      <c r="Q73" s="950"/>
      <c r="R73" s="950"/>
      <c r="S73" s="950"/>
      <c r="T73" s="950"/>
      <c r="U73" s="950"/>
      <c r="V73" s="950"/>
      <c r="W73" s="950"/>
      <c r="X73" s="950"/>
      <c r="Y73" s="950"/>
      <c r="Z73" s="950"/>
      <c r="AA73" s="950"/>
      <c r="AB73" s="950"/>
      <c r="AC73" s="950"/>
      <c r="AD73" s="950"/>
      <c r="AE73" s="950"/>
      <c r="AF73" s="950"/>
      <c r="AG73" s="950"/>
      <c r="AH73" s="950"/>
      <c r="AI73" s="950"/>
      <c r="AJ73" s="962"/>
      <c r="AK73" s="957"/>
      <c r="AM73" s="723"/>
      <c r="AN73" s="723"/>
      <c r="AO73" s="722"/>
      <c r="AP73" s="965"/>
      <c r="AQ73" s="964"/>
      <c r="AR73" s="964"/>
      <c r="AS73" s="964"/>
    </row>
    <row r="74" spans="1:45" ht="20.25" customHeight="1" x14ac:dyDescent="0.2">
      <c r="A74" s="949">
        <f>VLOOKUP(D74,EFETIVO!$C$2:$D$223,2,0)</f>
        <v>17</v>
      </c>
      <c r="B74" s="976" t="str">
        <f>VLOOKUP(D74,EFETIVO!$F$2:$G$127,2,0)</f>
        <v>1º SGT JEAN CEZAR</v>
      </c>
      <c r="C74" s="978" t="str">
        <f>VLOOKUP(D74,EFETIVO!$F:$H,3,0)</f>
        <v>CHEFE</v>
      </c>
      <c r="D74" s="955">
        <v>902801</v>
      </c>
      <c r="E74" s="949" t="s">
        <v>135</v>
      </c>
      <c r="F74" s="950"/>
      <c r="G74" s="950"/>
      <c r="H74" s="950"/>
      <c r="I74" s="950"/>
      <c r="J74" s="950"/>
      <c r="K74" s="950"/>
      <c r="L74" s="950"/>
      <c r="M74" s="950"/>
      <c r="N74" s="950"/>
      <c r="O74" s="950"/>
      <c r="P74" s="950"/>
      <c r="Q74" s="950"/>
      <c r="R74" s="950"/>
      <c r="S74" s="950"/>
      <c r="T74" s="950"/>
      <c r="U74" s="950"/>
      <c r="V74" s="950"/>
      <c r="W74" s="950"/>
      <c r="X74" s="950"/>
      <c r="Y74" s="950"/>
      <c r="Z74" s="950"/>
      <c r="AA74" s="950"/>
      <c r="AB74" s="950"/>
      <c r="AC74" s="950"/>
      <c r="AD74" s="950"/>
      <c r="AE74" s="950"/>
      <c r="AF74" s="950"/>
      <c r="AG74" s="950"/>
      <c r="AH74" s="950"/>
      <c r="AI74" s="950"/>
      <c r="AJ74" s="950"/>
      <c r="AK74" s="959"/>
      <c r="AM74" s="723"/>
      <c r="AN74" s="723"/>
      <c r="AO74" s="722"/>
      <c r="AP74" s="965"/>
      <c r="AQ74" s="964"/>
      <c r="AR74" s="964"/>
      <c r="AS74" s="964"/>
    </row>
    <row r="75" spans="1:45" ht="20.25" customHeight="1" x14ac:dyDescent="0.2">
      <c r="A75" s="949">
        <f>VLOOKUP(D75,EFETIVO!$C$2:$D$223,2,0)</f>
        <v>18</v>
      </c>
      <c r="B75" s="976" t="str">
        <f>VLOOKUP(D75,EFETIVO!$F$2:$G$127,2,0)</f>
        <v>1º SGT DILSON</v>
      </c>
      <c r="C75" s="978" t="str">
        <f>VLOOKUP(D75,EFETIVO!$F:$H,3,0)</f>
        <v>CHEFE</v>
      </c>
      <c r="D75" s="955">
        <v>903234</v>
      </c>
      <c r="E75" s="949" t="s">
        <v>135</v>
      </c>
      <c r="F75" s="950"/>
      <c r="G75" s="950"/>
      <c r="H75" s="950"/>
      <c r="I75" s="950"/>
      <c r="J75" s="950"/>
      <c r="K75" s="950"/>
      <c r="L75" s="950"/>
      <c r="M75" s="950"/>
      <c r="N75" s="950"/>
      <c r="O75" s="950"/>
      <c r="P75" s="950"/>
      <c r="Q75" s="950"/>
      <c r="R75" s="950"/>
      <c r="S75" s="950"/>
      <c r="T75" s="950"/>
      <c r="U75" s="950"/>
      <c r="V75" s="950"/>
      <c r="W75" s="950"/>
      <c r="X75" s="950"/>
      <c r="Y75" s="950"/>
      <c r="Z75" s="950"/>
      <c r="AA75" s="950"/>
      <c r="AB75" s="950"/>
      <c r="AC75" s="950"/>
      <c r="AD75" s="950"/>
      <c r="AE75" s="950"/>
      <c r="AF75" s="950"/>
      <c r="AG75" s="950"/>
      <c r="AH75" s="962"/>
      <c r="AI75" s="962"/>
      <c r="AJ75" s="962"/>
      <c r="AK75" s="1023"/>
      <c r="AM75" s="723"/>
      <c r="AN75" s="723"/>
      <c r="AO75" s="722"/>
      <c r="AP75" s="965"/>
      <c r="AQ75" s="964"/>
      <c r="AR75" s="964"/>
      <c r="AS75" s="964"/>
    </row>
    <row r="76" spans="1:45" ht="20.25" customHeight="1" x14ac:dyDescent="0.2">
      <c r="A76" s="949">
        <f>VLOOKUP(D76,EFETIVO!$C$2:$D$223,2,0)</f>
        <v>19</v>
      </c>
      <c r="B76" s="976" t="str">
        <f>VLOOKUP(D76,EFETIVO!$F$2:$G$127,2,0)</f>
        <v>1º SGT MATTOS</v>
      </c>
      <c r="C76" s="978" t="str">
        <f>VLOOKUP(D76,EFETIVO!$F:$H,3,0)</f>
        <v>CHEFE</v>
      </c>
      <c r="D76" s="955">
        <v>903581</v>
      </c>
      <c r="E76" s="949" t="s">
        <v>135</v>
      </c>
      <c r="F76" s="950"/>
      <c r="G76" s="950"/>
      <c r="H76" s="950"/>
      <c r="I76" s="950"/>
      <c r="J76" s="950"/>
      <c r="K76" s="950"/>
      <c r="L76" s="950"/>
      <c r="M76" s="950"/>
      <c r="N76" s="950"/>
      <c r="O76" s="950"/>
      <c r="P76" s="950"/>
      <c r="Q76" s="950"/>
      <c r="R76" s="950"/>
      <c r="S76" s="950"/>
      <c r="T76" s="950"/>
      <c r="U76" s="950"/>
      <c r="V76" s="950"/>
      <c r="W76" s="950"/>
      <c r="X76" s="950"/>
      <c r="Y76" s="950"/>
      <c r="Z76" s="950"/>
      <c r="AA76" s="950"/>
      <c r="AB76" s="950"/>
      <c r="AC76" s="950"/>
      <c r="AD76" s="950"/>
      <c r="AE76" s="950"/>
      <c r="AF76" s="950"/>
      <c r="AG76" s="950"/>
      <c r="AH76" s="962"/>
      <c r="AI76" s="962"/>
      <c r="AJ76" s="962"/>
      <c r="AK76" s="1023"/>
      <c r="AM76" s="723"/>
      <c r="AN76" s="970"/>
      <c r="AO76" s="723"/>
      <c r="AP76" s="722"/>
      <c r="AQ76" s="965"/>
      <c r="AR76" s="964"/>
      <c r="AS76" s="964"/>
    </row>
    <row r="77" spans="1:45" ht="20.25" customHeight="1" x14ac:dyDescent="0.2">
      <c r="A77" s="949">
        <f>VLOOKUP(D77,EFETIVO!$C$2:$D$223,2,0)</f>
        <v>21</v>
      </c>
      <c r="B77" s="976" t="str">
        <f>VLOOKUP(D77,EFETIVO!$F$2:$G$127,2,0)</f>
        <v xml:space="preserve">1ºSGT LUCIANA </v>
      </c>
      <c r="C77" s="978" t="str">
        <f>VLOOKUP(D77,EFETIVO!$F:$H,3,0)</f>
        <v>CHEFE</v>
      </c>
      <c r="D77" s="955">
        <v>2777959</v>
      </c>
      <c r="E77" s="955" t="s">
        <v>135</v>
      </c>
      <c r="F77" s="950"/>
      <c r="G77" s="950"/>
      <c r="H77" s="950"/>
      <c r="I77" s="950"/>
      <c r="J77" s="950"/>
      <c r="K77" s="950"/>
      <c r="L77" s="950"/>
      <c r="M77" s="950"/>
      <c r="N77" s="950"/>
      <c r="O77" s="950"/>
      <c r="P77" s="950"/>
      <c r="Q77" s="950"/>
      <c r="R77" s="950"/>
      <c r="S77" s="950"/>
      <c r="T77" s="950"/>
      <c r="U77" s="950"/>
      <c r="V77" s="950"/>
      <c r="W77" s="950"/>
      <c r="X77" s="950"/>
      <c r="Y77" s="950"/>
      <c r="Z77" s="950"/>
      <c r="AA77" s="950"/>
      <c r="AB77" s="950"/>
      <c r="AC77" s="950"/>
      <c r="AD77" s="950"/>
      <c r="AE77" s="950"/>
      <c r="AF77" s="950"/>
      <c r="AG77" s="950"/>
      <c r="AH77" s="962"/>
      <c r="AI77" s="962"/>
      <c r="AJ77" s="962"/>
      <c r="AK77" s="960"/>
      <c r="AM77" s="723"/>
      <c r="AN77" s="970"/>
      <c r="AO77" s="723"/>
      <c r="AP77" s="722"/>
      <c r="AQ77" s="965"/>
      <c r="AR77" s="964"/>
      <c r="AS77" s="964"/>
    </row>
    <row r="78" spans="1:45" ht="20.25" customHeight="1" x14ac:dyDescent="0.2">
      <c r="A78" s="949">
        <f>VLOOKUP(D78,EFETIVO!$C$2:$D$223,2,0)</f>
        <v>23</v>
      </c>
      <c r="B78" s="976" t="str">
        <f>VLOOKUP(D78,EFETIVO!$F$2:$G$127,2,0)</f>
        <v xml:space="preserve">2ºSGT CLEL VIANA </v>
      </c>
      <c r="C78" s="978" t="str">
        <f>VLOOKUP(D78,EFETIVO!$F:$H,3,0)</f>
        <v>CHEFE</v>
      </c>
      <c r="D78" s="955">
        <v>2691248</v>
      </c>
      <c r="E78" s="949" t="s">
        <v>135</v>
      </c>
      <c r="F78" s="950"/>
      <c r="G78" s="950"/>
      <c r="H78" s="950"/>
      <c r="I78" s="950"/>
      <c r="J78" s="950"/>
      <c r="K78" s="950"/>
      <c r="L78" s="950"/>
      <c r="M78" s="950"/>
      <c r="N78" s="950"/>
      <c r="O78" s="950"/>
      <c r="P78" s="950"/>
      <c r="Q78" s="950"/>
      <c r="R78" s="950"/>
      <c r="S78" s="950"/>
      <c r="T78" s="950"/>
      <c r="U78" s="950"/>
      <c r="V78" s="950"/>
      <c r="W78" s="950"/>
      <c r="X78" s="950"/>
      <c r="Y78" s="950"/>
      <c r="Z78" s="950"/>
      <c r="AA78" s="950"/>
      <c r="AB78" s="950"/>
      <c r="AC78" s="950"/>
      <c r="AD78" s="950"/>
      <c r="AE78" s="950"/>
      <c r="AF78" s="950"/>
      <c r="AG78" s="950"/>
      <c r="AH78" s="962"/>
      <c r="AI78" s="962"/>
      <c r="AJ78" s="962"/>
      <c r="AK78" s="960"/>
      <c r="AM78" s="723"/>
      <c r="AN78" s="971"/>
      <c r="AO78" s="723"/>
      <c r="AP78" s="722"/>
      <c r="AQ78" s="965"/>
      <c r="AR78" s="964"/>
      <c r="AS78" s="964"/>
    </row>
    <row r="79" spans="1:45" ht="20.25" customHeight="1" x14ac:dyDescent="0.2">
      <c r="A79" s="949">
        <f>VLOOKUP(D79,EFETIVO!$C$2:$D$223,2,0)</f>
        <v>24</v>
      </c>
      <c r="B79" s="976" t="str">
        <f>VLOOKUP(D79,EFETIVO!$F$2:$G$127,2,0)</f>
        <v>2ºSGT FALLER</v>
      </c>
      <c r="C79" s="978" t="str">
        <f>VLOOKUP(D79,EFETIVO!$F:$H,3,0)</f>
        <v>CHEFE</v>
      </c>
      <c r="D79" s="955">
        <v>2991896</v>
      </c>
      <c r="E79" s="949" t="s">
        <v>135</v>
      </c>
      <c r="F79" s="950"/>
      <c r="G79" s="950"/>
      <c r="H79" s="950"/>
      <c r="I79" s="950"/>
      <c r="J79" s="950"/>
      <c r="K79" s="950"/>
      <c r="L79" s="950"/>
      <c r="M79" s="950"/>
      <c r="N79" s="950"/>
      <c r="O79" s="950"/>
      <c r="P79" s="950"/>
      <c r="Q79" s="950"/>
      <c r="R79" s="950"/>
      <c r="S79" s="950"/>
      <c r="T79" s="950"/>
      <c r="U79" s="950"/>
      <c r="V79" s="950"/>
      <c r="W79" s="950"/>
      <c r="X79" s="950"/>
      <c r="Y79" s="950"/>
      <c r="Z79" s="950"/>
      <c r="AA79" s="950"/>
      <c r="AB79" s="950"/>
      <c r="AC79" s="950"/>
      <c r="AD79" s="950"/>
      <c r="AE79" s="950"/>
      <c r="AF79" s="950"/>
      <c r="AG79" s="950"/>
      <c r="AH79" s="962"/>
      <c r="AI79" s="962"/>
      <c r="AJ79" s="962"/>
      <c r="AK79" s="956"/>
      <c r="AM79" s="1158"/>
      <c r="AN79" s="1158"/>
      <c r="AO79" s="1158"/>
      <c r="AP79" s="1158"/>
      <c r="AQ79" s="967"/>
      <c r="AR79" s="964"/>
      <c r="AS79" s="964"/>
    </row>
    <row r="80" spans="1:45" ht="20.25" customHeight="1" x14ac:dyDescent="0.2">
      <c r="A80" s="949">
        <f>VLOOKUP(D80,EFETIVO!$C$2:$D$223,2,0)</f>
        <v>32</v>
      </c>
      <c r="B80" s="976" t="str">
        <f>VLOOKUP(D80,EFETIVO!$F$2:$G$127,2,0)</f>
        <v>2º SGT HIIBNER</v>
      </c>
      <c r="C80" s="978" t="str">
        <f>VLOOKUP(D80,EFETIVO!$F:$H,3,0)</f>
        <v>CHEFE</v>
      </c>
      <c r="D80" s="955">
        <v>2981513</v>
      </c>
      <c r="E80" s="949" t="s">
        <v>135</v>
      </c>
      <c r="F80" s="950"/>
      <c r="G80" s="950"/>
      <c r="H80" s="950"/>
      <c r="I80" s="950"/>
      <c r="J80" s="950"/>
      <c r="K80" s="950"/>
      <c r="L80" s="950"/>
      <c r="M80" s="950"/>
      <c r="N80" s="950"/>
      <c r="O80" s="950"/>
      <c r="P80" s="950"/>
      <c r="Q80" s="950"/>
      <c r="R80" s="950"/>
      <c r="S80" s="950"/>
      <c r="T80" s="950"/>
      <c r="U80" s="950"/>
      <c r="V80" s="950"/>
      <c r="W80" s="950"/>
      <c r="X80" s="950"/>
      <c r="Y80" s="950"/>
      <c r="Z80" s="950"/>
      <c r="AA80" s="950"/>
      <c r="AB80" s="950"/>
      <c r="AC80" s="950"/>
      <c r="AD80" s="950"/>
      <c r="AE80" s="950"/>
      <c r="AF80" s="950"/>
      <c r="AG80" s="950"/>
      <c r="AH80" s="950"/>
      <c r="AI80" s="950"/>
      <c r="AJ80" s="962"/>
      <c r="AK80" s="958"/>
      <c r="AM80" s="964"/>
      <c r="AN80" s="964"/>
      <c r="AO80" s="964"/>
      <c r="AP80" s="964"/>
      <c r="AQ80" s="964"/>
      <c r="AR80" s="964"/>
      <c r="AS80" s="964"/>
    </row>
    <row r="81" spans="1:45" s="930" customFormat="1" ht="20.25" customHeight="1" x14ac:dyDescent="0.2">
      <c r="A81" s="949">
        <f>VLOOKUP(D81,EFETIVO!$C$2:$D$223,2,0)</f>
        <v>52</v>
      </c>
      <c r="B81" s="976" t="str">
        <f>VLOOKUP(D81,EFETIVO!$F$2:$G$127,2,0)</f>
        <v>CB IARA</v>
      </c>
      <c r="C81" s="978" t="str">
        <f>VLOOKUP(D81,EFETIVO!$F:$H,3,0)</f>
        <v>CONDUTOR B</v>
      </c>
      <c r="D81" s="955">
        <v>3136302</v>
      </c>
      <c r="E81" s="949" t="s">
        <v>135</v>
      </c>
      <c r="F81" s="950"/>
      <c r="G81" s="950"/>
      <c r="H81" s="950"/>
      <c r="I81" s="950"/>
      <c r="J81" s="950"/>
      <c r="K81" s="950"/>
      <c r="L81" s="950"/>
      <c r="M81" s="950"/>
      <c r="N81" s="950"/>
      <c r="O81" s="950"/>
      <c r="P81" s="950"/>
      <c r="Q81" s="950"/>
      <c r="R81" s="950"/>
      <c r="S81" s="950"/>
      <c r="T81" s="950"/>
      <c r="U81" s="950"/>
      <c r="V81" s="962"/>
      <c r="W81" s="950"/>
      <c r="X81" s="950"/>
      <c r="Y81" s="950"/>
      <c r="Z81" s="950"/>
      <c r="AA81" s="950"/>
      <c r="AB81" s="950"/>
      <c r="AC81" s="950"/>
      <c r="AD81" s="950"/>
      <c r="AE81" s="950"/>
      <c r="AF81" s="950"/>
      <c r="AG81" s="950"/>
      <c r="AH81" s="962"/>
      <c r="AI81" s="962"/>
      <c r="AJ81" s="962"/>
      <c r="AK81" s="958"/>
      <c r="AL81" s="937"/>
      <c r="AM81" s="968"/>
      <c r="AN81" s="968"/>
      <c r="AO81" s="968"/>
      <c r="AP81" s="968"/>
      <c r="AQ81" s="968"/>
      <c r="AR81" s="968"/>
      <c r="AS81" s="968"/>
    </row>
    <row r="82" spans="1:45" s="930" customFormat="1" ht="20.25" customHeight="1" x14ac:dyDescent="0.2">
      <c r="A82" s="949">
        <f>VLOOKUP(D82,EFETIVO!$C$2:$D$223,2,0)</f>
        <v>59</v>
      </c>
      <c r="B82" s="976" t="str">
        <f>VLOOKUP(D82,EFETIVO!$F$2:$G$127,2,0)</f>
        <v>CB VITOR MIRANDA</v>
      </c>
      <c r="C82" s="978" t="str">
        <f>VLOOKUP(D82,EFETIVO!$F:$H,3,0)</f>
        <v>CONDUTOR B</v>
      </c>
      <c r="D82" s="955">
        <v>3270459</v>
      </c>
      <c r="E82" s="955" t="s">
        <v>135</v>
      </c>
      <c r="F82" s="950"/>
      <c r="G82" s="950"/>
      <c r="H82" s="950"/>
      <c r="I82" s="950"/>
      <c r="J82" s="950"/>
      <c r="K82" s="950"/>
      <c r="L82" s="950"/>
      <c r="M82" s="950"/>
      <c r="N82" s="950"/>
      <c r="O82" s="950"/>
      <c r="P82" s="950"/>
      <c r="Q82" s="950"/>
      <c r="R82" s="950"/>
      <c r="S82" s="950"/>
      <c r="T82" s="950"/>
      <c r="U82" s="950"/>
      <c r="V82" s="950"/>
      <c r="W82" s="950"/>
      <c r="X82" s="950"/>
      <c r="Y82" s="950"/>
      <c r="Z82" s="950"/>
      <c r="AA82" s="950"/>
      <c r="AB82" s="950"/>
      <c r="AC82" s="950"/>
      <c r="AD82" s="950"/>
      <c r="AE82" s="950"/>
      <c r="AF82" s="950"/>
      <c r="AG82" s="950"/>
      <c r="AH82" s="950"/>
      <c r="AI82" s="950"/>
      <c r="AJ82" s="962"/>
      <c r="AK82" s="956"/>
      <c r="AL82" s="937"/>
      <c r="AM82" s="968"/>
      <c r="AN82" s="968"/>
      <c r="AO82" s="968"/>
      <c r="AP82" s="968"/>
      <c r="AQ82" s="968"/>
      <c r="AR82" s="968"/>
      <c r="AS82" s="968"/>
    </row>
    <row r="83" spans="1:45" s="930" customFormat="1" ht="20.25" customHeight="1" x14ac:dyDescent="0.2">
      <c r="A83" s="949">
        <f>VLOOKUP(D83,EFETIVO!$C$2:$D$223,2,0)</f>
        <v>73</v>
      </c>
      <c r="B83" s="976" t="str">
        <f>VLOOKUP(D83,EFETIVO!$F$2:$G$127,2,0)</f>
        <v>CB STEPHANIE</v>
      </c>
      <c r="C83" s="978" t="str">
        <f>VLOOKUP(D83,EFETIVO!$F:$H,3,0)</f>
        <v>CONDUTOR</v>
      </c>
      <c r="D83" s="955">
        <v>4150503</v>
      </c>
      <c r="E83" s="949" t="s">
        <v>135</v>
      </c>
      <c r="F83" s="950"/>
      <c r="G83" s="950"/>
      <c r="H83" s="950"/>
      <c r="I83" s="950"/>
      <c r="J83" s="950"/>
      <c r="K83" s="950"/>
      <c r="L83" s="950"/>
      <c r="M83" s="950"/>
      <c r="N83" s="950"/>
      <c r="O83" s="950"/>
      <c r="P83" s="950"/>
      <c r="Q83" s="950"/>
      <c r="R83" s="950"/>
      <c r="S83" s="950"/>
      <c r="T83" s="950"/>
      <c r="U83" s="950"/>
      <c r="V83" s="962"/>
      <c r="W83" s="950"/>
      <c r="X83" s="950"/>
      <c r="Y83" s="950"/>
      <c r="Z83" s="950"/>
      <c r="AA83" s="950"/>
      <c r="AB83" s="950"/>
      <c r="AC83" s="950"/>
      <c r="AD83" s="950"/>
      <c r="AE83" s="950"/>
      <c r="AF83" s="950"/>
      <c r="AG83" s="962"/>
      <c r="AH83" s="962"/>
      <c r="AI83" s="962"/>
      <c r="AJ83" s="962"/>
      <c r="AK83" s="951"/>
      <c r="AL83" s="937"/>
      <c r="AM83" s="968"/>
      <c r="AN83" s="968"/>
      <c r="AO83" s="968"/>
      <c r="AP83" s="968"/>
      <c r="AQ83" s="968"/>
      <c r="AR83" s="968"/>
      <c r="AS83" s="968"/>
    </row>
    <row r="84" spans="1:45" s="930" customFormat="1" ht="20.25" customHeight="1" x14ac:dyDescent="0.2">
      <c r="A84" s="949">
        <f>VLOOKUP(D84,EFETIVO!$C$2:$D$223,2,0)</f>
        <v>1</v>
      </c>
      <c r="B84" s="976" t="str">
        <f>VLOOKUP(D84,EFETIVO!$F$2:$G$127,2,0)</f>
        <v>TC SIWAMY</v>
      </c>
      <c r="C84" s="978" t="str">
        <f>VLOOKUP(D84,EFETIVO!$F:$H,3,0)</f>
        <v>CMD BATALHÃO</v>
      </c>
      <c r="D84" s="955">
        <v>903209</v>
      </c>
      <c r="E84" s="949" t="s">
        <v>225</v>
      </c>
      <c r="F84" s="950"/>
      <c r="G84" s="950"/>
      <c r="H84" s="950"/>
      <c r="I84" s="950"/>
      <c r="J84" s="950"/>
      <c r="K84" s="950"/>
      <c r="L84" s="950"/>
      <c r="M84" s="950"/>
      <c r="N84" s="950"/>
      <c r="O84" s="950"/>
      <c r="P84" s="950"/>
      <c r="Q84" s="950"/>
      <c r="R84" s="950"/>
      <c r="S84" s="950"/>
      <c r="T84" s="950"/>
      <c r="U84" s="950"/>
      <c r="V84" s="950"/>
      <c r="W84" s="950"/>
      <c r="X84" s="950"/>
      <c r="Y84" s="950"/>
      <c r="Z84" s="950"/>
      <c r="AA84" s="950"/>
      <c r="AB84" s="950"/>
      <c r="AC84" s="950"/>
      <c r="AD84" s="950"/>
      <c r="AE84" s="950"/>
      <c r="AF84" s="950"/>
      <c r="AG84" s="950"/>
      <c r="AH84" s="950"/>
      <c r="AI84" s="950"/>
      <c r="AJ84" s="950"/>
      <c r="AK84" s="958"/>
      <c r="AL84" s="937"/>
      <c r="AM84" s="968"/>
      <c r="AN84" s="968"/>
      <c r="AO84" s="968"/>
      <c r="AP84" s="968"/>
      <c r="AQ84" s="968"/>
      <c r="AR84" s="968"/>
      <c r="AS84" s="968"/>
    </row>
    <row r="85" spans="1:45" s="930" customFormat="1" ht="20.25" customHeight="1" x14ac:dyDescent="0.2">
      <c r="A85" s="949">
        <f>VLOOKUP(D85,EFETIVO!$C$2:$D$223,2,0)</f>
        <v>5</v>
      </c>
      <c r="B85" s="976" t="str">
        <f>VLOOKUP(D85,EFETIVO!$F$2:$G$127,2,0)</f>
        <v>CAP ALAN</v>
      </c>
      <c r="C85" s="978" t="str">
        <f>VLOOKUP(D85,EFETIVO!$F:$H,3,0)</f>
        <v>CMD</v>
      </c>
      <c r="D85" s="955">
        <v>3269779</v>
      </c>
      <c r="E85" s="1011" t="s">
        <v>225</v>
      </c>
      <c r="F85" s="950"/>
      <c r="G85" s="950"/>
      <c r="H85" s="950"/>
      <c r="I85" s="950"/>
      <c r="J85" s="950"/>
      <c r="K85" s="950"/>
      <c r="L85" s="950"/>
      <c r="M85" s="950"/>
      <c r="N85" s="950"/>
      <c r="O85" s="950"/>
      <c r="P85" s="950"/>
      <c r="Q85" s="950"/>
      <c r="R85" s="950"/>
      <c r="S85" s="950"/>
      <c r="T85" s="950"/>
      <c r="U85" s="950"/>
      <c r="V85" s="950"/>
      <c r="W85" s="950"/>
      <c r="X85" s="950"/>
      <c r="Y85" s="950"/>
      <c r="Z85" s="950"/>
      <c r="AA85" s="950"/>
      <c r="AB85" s="950"/>
      <c r="AC85" s="950"/>
      <c r="AD85" s="950"/>
      <c r="AE85" s="950"/>
      <c r="AF85" s="950"/>
      <c r="AG85" s="950"/>
      <c r="AH85" s="950"/>
      <c r="AI85" s="950"/>
      <c r="AJ85" s="962"/>
      <c r="AK85" s="958"/>
      <c r="AL85" s="937"/>
      <c r="AM85" s="968"/>
      <c r="AN85" s="968"/>
      <c r="AO85" s="968"/>
      <c r="AP85" s="968"/>
      <c r="AQ85" s="968"/>
      <c r="AR85" s="968"/>
      <c r="AS85" s="968"/>
    </row>
    <row r="86" spans="1:45" s="930" customFormat="1" ht="20.25" customHeight="1" x14ac:dyDescent="0.2">
      <c r="A86" s="949">
        <f>VLOOKUP(D86,EFETIVO!$C$2:$D$223,2,0)</f>
        <v>6</v>
      </c>
      <c r="B86" s="976" t="str">
        <f>VLOOKUP(D86,EFETIVO!$F$2:$G$127,2,0)</f>
        <v>CAP MENDES</v>
      </c>
      <c r="C86" s="978" t="str">
        <f>VLOOKUP(D86,EFETIVO!$F:$H,3,0)</f>
        <v>CHEFE</v>
      </c>
      <c r="D86" s="955">
        <v>2618389</v>
      </c>
      <c r="E86" s="949" t="s">
        <v>225</v>
      </c>
      <c r="F86" s="950"/>
      <c r="G86" s="950"/>
      <c r="H86" s="950"/>
      <c r="I86" s="950"/>
      <c r="J86" s="950"/>
      <c r="K86" s="950"/>
      <c r="L86" s="950"/>
      <c r="M86" s="950"/>
      <c r="N86" s="950"/>
      <c r="O86" s="950"/>
      <c r="P86" s="950"/>
      <c r="Q86" s="950"/>
      <c r="R86" s="950"/>
      <c r="S86" s="950"/>
      <c r="T86" s="950"/>
      <c r="U86" s="950"/>
      <c r="V86" s="962"/>
      <c r="W86" s="950"/>
      <c r="X86" s="950"/>
      <c r="Y86" s="950"/>
      <c r="Z86" s="950"/>
      <c r="AA86" s="950"/>
      <c r="AB86" s="950"/>
      <c r="AC86" s="950"/>
      <c r="AD86" s="950"/>
      <c r="AE86" s="950"/>
      <c r="AF86" s="950"/>
      <c r="AG86" s="950"/>
      <c r="AH86" s="962"/>
      <c r="AI86" s="962"/>
      <c r="AJ86" s="962"/>
      <c r="AK86" s="958"/>
      <c r="AL86" s="937"/>
      <c r="AM86" s="968"/>
      <c r="AN86" s="968"/>
      <c r="AO86" s="968"/>
      <c r="AP86" s="968"/>
      <c r="AQ86" s="968"/>
      <c r="AR86" s="968"/>
      <c r="AS86" s="968"/>
    </row>
    <row r="87" spans="1:45" s="930" customFormat="1" ht="20.25" customHeight="1" x14ac:dyDescent="0.2">
      <c r="A87" s="949">
        <f>VLOOKUP(D87,EFETIVO!$C$2:$D$223,2,0)</f>
        <v>7</v>
      </c>
      <c r="B87" s="976" t="str">
        <f>VLOOKUP(D87,EFETIVO!$F$2:$G$127,2,0)</f>
        <v>1º TEN ALINE</v>
      </c>
      <c r="C87" s="978" t="str">
        <f>VLOOKUP(D87,EFETIVO!$F:$H,3,0)</f>
        <v>CHEFE</v>
      </c>
      <c r="D87" s="955">
        <v>4544935</v>
      </c>
      <c r="E87" s="949" t="s">
        <v>225</v>
      </c>
      <c r="F87" s="950"/>
      <c r="G87" s="950"/>
      <c r="H87" s="950"/>
      <c r="I87" s="950"/>
      <c r="J87" s="950"/>
      <c r="K87" s="950"/>
      <c r="L87" s="950"/>
      <c r="M87" s="950"/>
      <c r="N87" s="950"/>
      <c r="O87" s="950"/>
      <c r="P87" s="950"/>
      <c r="Q87" s="950"/>
      <c r="R87" s="950"/>
      <c r="S87" s="950"/>
      <c r="T87" s="950"/>
      <c r="U87" s="950"/>
      <c r="V87" s="950"/>
      <c r="W87" s="950"/>
      <c r="X87" s="950"/>
      <c r="Y87" s="950"/>
      <c r="Z87" s="950"/>
      <c r="AA87" s="950"/>
      <c r="AB87" s="950"/>
      <c r="AC87" s="950"/>
      <c r="AD87" s="950"/>
      <c r="AE87" s="950"/>
      <c r="AF87" s="950"/>
      <c r="AG87" s="950"/>
      <c r="AH87" s="962"/>
      <c r="AI87" s="962"/>
      <c r="AJ87" s="962"/>
      <c r="AK87" s="957"/>
      <c r="AL87" s="937"/>
      <c r="AM87" s="968"/>
      <c r="AN87" s="968"/>
      <c r="AO87" s="968"/>
      <c r="AP87" s="968"/>
    </row>
    <row r="88" spans="1:45" s="930" customFormat="1" ht="20.25" customHeight="1" x14ac:dyDescent="0.2">
      <c r="A88" s="949">
        <f>VLOOKUP(D88,EFETIVO!$C$2:$D$223,2,0)</f>
        <v>8</v>
      </c>
      <c r="B88" s="976" t="str">
        <f>VLOOKUP(D88,EFETIVO!$F$2:$G$127,2,0)</f>
        <v>2º TEN  BENTO</v>
      </c>
      <c r="C88" s="978" t="str">
        <f>VLOOKUP(D88,EFETIVO!$F:$H,3,0)</f>
        <v>CHEFE</v>
      </c>
      <c r="D88" s="955">
        <v>2598264</v>
      </c>
      <c r="E88" s="1020" t="s">
        <v>225</v>
      </c>
      <c r="F88" s="950"/>
      <c r="G88" s="950"/>
      <c r="H88" s="950"/>
      <c r="I88" s="950"/>
      <c r="J88" s="950"/>
      <c r="K88" s="950"/>
      <c r="L88" s="950"/>
      <c r="M88" s="950"/>
      <c r="N88" s="950"/>
      <c r="O88" s="950"/>
      <c r="P88" s="950"/>
      <c r="Q88" s="950"/>
      <c r="R88" s="950"/>
      <c r="S88" s="950"/>
      <c r="T88" s="950"/>
      <c r="U88" s="950"/>
      <c r="V88" s="950"/>
      <c r="W88" s="950"/>
      <c r="X88" s="950"/>
      <c r="Y88" s="950"/>
      <c r="Z88" s="950"/>
      <c r="AA88" s="950"/>
      <c r="AB88" s="950"/>
      <c r="AC88" s="950"/>
      <c r="AD88" s="950"/>
      <c r="AE88" s="950"/>
      <c r="AF88" s="950"/>
      <c r="AG88" s="950"/>
      <c r="AH88" s="962"/>
      <c r="AI88" s="962"/>
      <c r="AJ88" s="962"/>
      <c r="AK88" s="958"/>
      <c r="AL88" s="937"/>
      <c r="AM88" s="968"/>
      <c r="AN88" s="968"/>
      <c r="AO88" s="968"/>
      <c r="AP88" s="968"/>
    </row>
    <row r="89" spans="1:45" s="930" customFormat="1" ht="20.25" customHeight="1" x14ac:dyDescent="0.2">
      <c r="A89" s="1024">
        <f>VLOOKUP(D89,EFETIVO!$C$2:$D$223,2,0)</f>
        <v>13</v>
      </c>
      <c r="B89" s="1030" t="str">
        <f>VLOOKUP(D89,EFETIVO!$F$2:$G$127,2,0)</f>
        <v>2º TEN RR GERALDO</v>
      </c>
      <c r="C89" s="1031" t="str">
        <f>VLOOKUP(D89,EFETIVO!$F:$H,3,0)</f>
        <v>CHEFE</v>
      </c>
      <c r="D89" s="1033">
        <v>902114</v>
      </c>
      <c r="E89" s="1025" t="s">
        <v>225</v>
      </c>
      <c r="F89" s="1026"/>
      <c r="G89" s="1026"/>
      <c r="H89" s="1026"/>
      <c r="I89" s="1026"/>
      <c r="J89" s="1026"/>
      <c r="K89" s="1026"/>
      <c r="L89" s="1026"/>
      <c r="M89" s="1026"/>
      <c r="N89" s="1026"/>
      <c r="O89" s="1026"/>
      <c r="P89" s="1026"/>
      <c r="Q89" s="1026"/>
      <c r="R89" s="1026"/>
      <c r="S89" s="1026"/>
      <c r="T89" s="1026"/>
      <c r="U89" s="1026"/>
      <c r="V89" s="1026"/>
      <c r="W89" s="1026"/>
      <c r="X89" s="1026"/>
      <c r="Y89" s="1026"/>
      <c r="Z89" s="1026"/>
      <c r="AA89" s="1026"/>
      <c r="AB89" s="1026"/>
      <c r="AC89" s="1026"/>
      <c r="AD89" s="1026"/>
      <c r="AE89" s="1026"/>
      <c r="AF89" s="1026"/>
      <c r="AG89" s="1026"/>
      <c r="AH89" s="1026"/>
      <c r="AI89" s="1026"/>
      <c r="AJ89" s="1026"/>
      <c r="AK89" s="958"/>
      <c r="AL89" s="937"/>
      <c r="AM89" s="968"/>
      <c r="AN89" s="968"/>
      <c r="AO89" s="968"/>
      <c r="AP89" s="968"/>
    </row>
    <row r="90" spans="1:45" s="930" customFormat="1" ht="20.25" customHeight="1" x14ac:dyDescent="0.2">
      <c r="A90" s="949">
        <f>VLOOKUP(D90,EFETIVO!$C$2:$D$223,2,0)</f>
        <v>16</v>
      </c>
      <c r="B90" s="976" t="str">
        <f>VLOOKUP(D90,EFETIVO!$F$2:$G$127,2,0)</f>
        <v>ST RODRIGUES</v>
      </c>
      <c r="C90" s="978" t="str">
        <f>VLOOKUP(D90,EFETIVO!$F:$H,3,0)</f>
        <v>CHEFE</v>
      </c>
      <c r="D90" s="955">
        <v>902928</v>
      </c>
      <c r="E90" s="949" t="s">
        <v>225</v>
      </c>
      <c r="F90" s="950"/>
      <c r="G90" s="950"/>
      <c r="H90" s="950"/>
      <c r="I90" s="950"/>
      <c r="J90" s="950"/>
      <c r="K90" s="950"/>
      <c r="L90" s="950"/>
      <c r="M90" s="950"/>
      <c r="N90" s="950"/>
      <c r="O90" s="950"/>
      <c r="P90" s="950"/>
      <c r="Q90" s="950"/>
      <c r="R90" s="950"/>
      <c r="S90" s="950"/>
      <c r="T90" s="950"/>
      <c r="U90" s="950"/>
      <c r="V90" s="962"/>
      <c r="W90" s="950"/>
      <c r="X90" s="950"/>
      <c r="Y90" s="950"/>
      <c r="Z90" s="950"/>
      <c r="AA90" s="950"/>
      <c r="AB90" s="950"/>
      <c r="AC90" s="950"/>
      <c r="AD90" s="950"/>
      <c r="AE90" s="950"/>
      <c r="AF90" s="950"/>
      <c r="AG90" s="950"/>
      <c r="AH90" s="962"/>
      <c r="AI90" s="962"/>
      <c r="AJ90" s="962"/>
      <c r="AK90" s="956"/>
      <c r="AL90" s="937"/>
      <c r="AM90" s="968"/>
      <c r="AN90" s="968"/>
      <c r="AO90" s="968"/>
      <c r="AP90" s="968"/>
    </row>
    <row r="91" spans="1:45" s="930" customFormat="1" ht="20.25" customHeight="1" x14ac:dyDescent="0.2">
      <c r="A91" s="949">
        <f>VLOOKUP(D91,EFETIVO!$C$2:$D$223,2,0)</f>
        <v>28</v>
      </c>
      <c r="B91" s="976" t="str">
        <f>VLOOKUP(D91,EFETIVO!$F$2:$G$127,2,0)</f>
        <v>2ºSGT D. MATTOS</v>
      </c>
      <c r="C91" s="978" t="str">
        <f>VLOOKUP(D91,EFETIVO!$F:$H,3,0)</f>
        <v>CHEFE</v>
      </c>
      <c r="D91" s="955">
        <v>2982390</v>
      </c>
      <c r="E91" s="949" t="s">
        <v>225</v>
      </c>
      <c r="F91" s="950"/>
      <c r="G91" s="950"/>
      <c r="H91" s="950"/>
      <c r="I91" s="950"/>
      <c r="J91" s="950"/>
      <c r="K91" s="950"/>
      <c r="L91" s="950"/>
      <c r="M91" s="950"/>
      <c r="N91" s="950"/>
      <c r="O91" s="950"/>
      <c r="P91" s="950"/>
      <c r="Q91" s="950"/>
      <c r="R91" s="950"/>
      <c r="S91" s="950"/>
      <c r="T91" s="950"/>
      <c r="U91" s="950"/>
      <c r="V91" s="962"/>
      <c r="W91" s="950"/>
      <c r="X91" s="950"/>
      <c r="Y91" s="950"/>
      <c r="Z91" s="950"/>
      <c r="AA91" s="950"/>
      <c r="AB91" s="950"/>
      <c r="AC91" s="950"/>
      <c r="AD91" s="950"/>
      <c r="AE91" s="950"/>
      <c r="AF91" s="950"/>
      <c r="AG91" s="950"/>
      <c r="AH91" s="962"/>
      <c r="AI91" s="962"/>
      <c r="AJ91" s="962"/>
      <c r="AK91" s="958"/>
      <c r="AL91" s="937"/>
      <c r="AM91" s="968"/>
      <c r="AN91" s="968"/>
      <c r="AO91" s="968"/>
      <c r="AP91" s="968"/>
    </row>
    <row r="92" spans="1:45" s="930" customFormat="1" ht="20.25" customHeight="1" x14ac:dyDescent="0.2">
      <c r="A92" s="949">
        <f>VLOOKUP(D92,EFETIVO!$C$2:$D$223,2,0)</f>
        <v>36</v>
      </c>
      <c r="B92" s="976" t="str">
        <f>VLOOKUP(D92,EFETIVO!$F$2:$G$127,2,0)</f>
        <v>3º SGT JEZREEL</v>
      </c>
      <c r="C92" s="978" t="str">
        <f>VLOOKUP(D92,EFETIVO!$F:$H,3,0)</f>
        <v>CHEFE</v>
      </c>
      <c r="D92" s="955">
        <v>3037770</v>
      </c>
      <c r="E92" s="955" t="s">
        <v>225</v>
      </c>
      <c r="F92" s="950"/>
      <c r="G92" s="950"/>
      <c r="H92" s="950"/>
      <c r="I92" s="950"/>
      <c r="J92" s="950"/>
      <c r="K92" s="950"/>
      <c r="L92" s="950"/>
      <c r="M92" s="950"/>
      <c r="N92" s="950"/>
      <c r="O92" s="950"/>
      <c r="P92" s="950"/>
      <c r="Q92" s="950"/>
      <c r="R92" s="950"/>
      <c r="S92" s="950"/>
      <c r="T92" s="950"/>
      <c r="U92" s="950"/>
      <c r="V92" s="950"/>
      <c r="W92" s="950"/>
      <c r="X92" s="950"/>
      <c r="Y92" s="950"/>
      <c r="Z92" s="950"/>
      <c r="AA92" s="950"/>
      <c r="AB92" s="950"/>
      <c r="AC92" s="950"/>
      <c r="AD92" s="950"/>
      <c r="AE92" s="950"/>
      <c r="AF92" s="950"/>
      <c r="AG92" s="950"/>
      <c r="AH92" s="962"/>
      <c r="AI92" s="962"/>
      <c r="AJ92" s="962"/>
      <c r="AK92" s="951"/>
      <c r="AL92" s="937"/>
      <c r="AM92" s="968"/>
      <c r="AN92" s="968"/>
      <c r="AO92" s="968"/>
      <c r="AP92" s="968"/>
    </row>
    <row r="93" spans="1:45" s="930" customFormat="1" ht="20.25" customHeight="1" x14ac:dyDescent="0.2">
      <c r="A93" s="949">
        <f>VLOOKUP(D93,EFETIVO!$C$2:$D$223,2,0)</f>
        <v>81</v>
      </c>
      <c r="B93" s="976" t="str">
        <f>VLOOKUP(D93,EFETIVO!$F$2:$G$127,2,0)</f>
        <v>CB FLEGUER</v>
      </c>
      <c r="C93" s="978" t="str">
        <f>VLOOKUP(D93,EFETIVO!$F:$H,3,0)</f>
        <v>CONDUTOR</v>
      </c>
      <c r="D93" s="955">
        <v>4150600</v>
      </c>
      <c r="E93" s="949" t="s">
        <v>225</v>
      </c>
      <c r="F93" s="950"/>
      <c r="G93" s="950"/>
      <c r="H93" s="950"/>
      <c r="I93" s="950"/>
      <c r="J93" s="950"/>
      <c r="K93" s="950"/>
      <c r="L93" s="950"/>
      <c r="M93" s="950"/>
      <c r="N93" s="950"/>
      <c r="O93" s="950"/>
      <c r="P93" s="950"/>
      <c r="Q93" s="950"/>
      <c r="R93" s="950"/>
      <c r="S93" s="950"/>
      <c r="T93" s="950"/>
      <c r="U93" s="950"/>
      <c r="V93" s="950"/>
      <c r="W93" s="950"/>
      <c r="X93" s="950"/>
      <c r="Y93" s="950"/>
      <c r="Z93" s="950"/>
      <c r="AA93" s="950"/>
      <c r="AB93" s="950"/>
      <c r="AC93" s="950"/>
      <c r="AD93" s="950"/>
      <c r="AE93" s="950"/>
      <c r="AF93" s="950"/>
      <c r="AG93" s="950"/>
      <c r="AH93" s="950"/>
      <c r="AI93" s="950"/>
      <c r="AJ93" s="962"/>
      <c r="AK93" s="957"/>
      <c r="AL93" s="937"/>
      <c r="AM93" s="968"/>
      <c r="AN93" s="968"/>
      <c r="AO93" s="968"/>
      <c r="AP93" s="968"/>
    </row>
    <row r="94" spans="1:45" s="930" customFormat="1" ht="20.25" customHeight="1" x14ac:dyDescent="0.2">
      <c r="A94" s="949">
        <f>VLOOKUP(D94,EFETIVO!$C$2:$D$223,2,0)</f>
        <v>83</v>
      </c>
      <c r="B94" s="976" t="str">
        <f>VLOOKUP(D94,EFETIVO!$F$2:$G$127,2,0)</f>
        <v>CB CAROLINE</v>
      </c>
      <c r="C94" s="978" t="str">
        <f>VLOOKUP(D94,EFETIVO!$F:$H,3,0)</f>
        <v>CONDUTOR</v>
      </c>
      <c r="D94" s="955">
        <v>4150791</v>
      </c>
      <c r="E94" s="949" t="s">
        <v>225</v>
      </c>
      <c r="F94" s="950" t="s">
        <v>343</v>
      </c>
      <c r="G94" s="950" t="s">
        <v>343</v>
      </c>
      <c r="H94" s="950" t="s">
        <v>343</v>
      </c>
      <c r="I94" s="950" t="s">
        <v>343</v>
      </c>
      <c r="J94" s="950" t="s">
        <v>343</v>
      </c>
      <c r="K94" s="950" t="s">
        <v>343</v>
      </c>
      <c r="L94" s="950" t="s">
        <v>343</v>
      </c>
      <c r="M94" s="950" t="s">
        <v>343</v>
      </c>
      <c r="N94" s="950" t="s">
        <v>343</v>
      </c>
      <c r="O94" s="950" t="s">
        <v>343</v>
      </c>
      <c r="P94" s="950" t="s">
        <v>343</v>
      </c>
      <c r="Q94" s="950" t="s">
        <v>343</v>
      </c>
      <c r="R94" s="950" t="s">
        <v>343</v>
      </c>
      <c r="S94" s="950" t="s">
        <v>343</v>
      </c>
      <c r="T94" s="950" t="s">
        <v>343</v>
      </c>
      <c r="U94" s="950" t="s">
        <v>343</v>
      </c>
      <c r="V94" s="950" t="s">
        <v>343</v>
      </c>
      <c r="W94" s="950" t="s">
        <v>343</v>
      </c>
      <c r="X94" s="950" t="s">
        <v>343</v>
      </c>
      <c r="Y94" s="950" t="s">
        <v>343</v>
      </c>
      <c r="Z94" s="950" t="s">
        <v>343</v>
      </c>
      <c r="AA94" s="950" t="s">
        <v>343</v>
      </c>
      <c r="AB94" s="950" t="s">
        <v>343</v>
      </c>
      <c r="AC94" s="950" t="s">
        <v>343</v>
      </c>
      <c r="AD94" s="950" t="s">
        <v>343</v>
      </c>
      <c r="AE94" s="950" t="s">
        <v>343</v>
      </c>
      <c r="AF94" s="950" t="s">
        <v>343</v>
      </c>
      <c r="AG94" s="950" t="s">
        <v>343</v>
      </c>
      <c r="AH94" s="950" t="s">
        <v>343</v>
      </c>
      <c r="AI94" s="950" t="s">
        <v>343</v>
      </c>
      <c r="AJ94" s="950" t="s">
        <v>343</v>
      </c>
      <c r="AK94" s="958"/>
      <c r="AL94" s="937"/>
      <c r="AM94" s="968"/>
      <c r="AN94" s="968"/>
      <c r="AO94" s="968"/>
      <c r="AP94" s="968"/>
    </row>
    <row r="95" spans="1:45" s="930" customFormat="1" ht="20.25" customHeight="1" x14ac:dyDescent="0.2">
      <c r="A95" s="949">
        <f>VLOOKUP(D95,EFETIVO!$C$2:$D$223,2,0)</f>
        <v>60</v>
      </c>
      <c r="B95" s="976" t="str">
        <f>VLOOKUP(D95,EFETIVO!$F$2:$G$127,2,0)</f>
        <v>CB DERICK</v>
      </c>
      <c r="C95" s="978" t="str">
        <f>VLOOKUP(D95,EFETIVO!$F:$H,3,0)</f>
        <v>CONDUTOR</v>
      </c>
      <c r="D95" s="955">
        <v>3369900</v>
      </c>
      <c r="E95" s="949"/>
      <c r="F95" s="950" t="s">
        <v>343</v>
      </c>
      <c r="G95" s="950" t="s">
        <v>343</v>
      </c>
      <c r="H95" s="950" t="s">
        <v>343</v>
      </c>
      <c r="I95" s="950" t="s">
        <v>343</v>
      </c>
      <c r="J95" s="950" t="s">
        <v>343</v>
      </c>
      <c r="K95" s="950" t="s">
        <v>343</v>
      </c>
      <c r="L95" s="950" t="s">
        <v>343</v>
      </c>
      <c r="M95" s="950" t="s">
        <v>343</v>
      </c>
      <c r="N95" s="950" t="s">
        <v>343</v>
      </c>
      <c r="O95" s="950" t="s">
        <v>343</v>
      </c>
      <c r="P95" s="950" t="s">
        <v>343</v>
      </c>
      <c r="Q95" s="950" t="s">
        <v>343</v>
      </c>
      <c r="R95" s="950" t="s">
        <v>343</v>
      </c>
      <c r="S95" s="950" t="s">
        <v>343</v>
      </c>
      <c r="T95" s="950" t="s">
        <v>343</v>
      </c>
      <c r="U95" s="950" t="s">
        <v>343</v>
      </c>
      <c r="V95" s="950" t="s">
        <v>343</v>
      </c>
      <c r="W95" s="950" t="s">
        <v>343</v>
      </c>
      <c r="X95" s="950" t="s">
        <v>343</v>
      </c>
      <c r="Y95" s="950" t="s">
        <v>343</v>
      </c>
      <c r="Z95" s="950" t="s">
        <v>343</v>
      </c>
      <c r="AA95" s="950" t="s">
        <v>343</v>
      </c>
      <c r="AB95" s="950" t="s">
        <v>343</v>
      </c>
      <c r="AC95" s="950" t="s">
        <v>343</v>
      </c>
      <c r="AD95" s="950" t="s">
        <v>343</v>
      </c>
      <c r="AE95" s="950" t="s">
        <v>343</v>
      </c>
      <c r="AF95" s="950" t="s">
        <v>343</v>
      </c>
      <c r="AG95" s="950" t="s">
        <v>343</v>
      </c>
      <c r="AH95" s="950" t="s">
        <v>343</v>
      </c>
      <c r="AI95" s="950" t="s">
        <v>343</v>
      </c>
      <c r="AJ95" s="950" t="s">
        <v>343</v>
      </c>
      <c r="AK95" s="957" t="s">
        <v>344</v>
      </c>
      <c r="AL95" s="937"/>
      <c r="AM95" s="968"/>
      <c r="AN95" s="968"/>
      <c r="AO95" s="968"/>
      <c r="AP95" s="968"/>
    </row>
    <row r="96" spans="1:45" s="930" customFormat="1" ht="20.25" customHeight="1" x14ac:dyDescent="0.2">
      <c r="A96" s="949">
        <f>VLOOKUP(D96,EFETIVO!$C$2:$D$223,2,0)</f>
        <v>110</v>
      </c>
      <c r="B96" s="976" t="str">
        <f>VLOOKUP(D96,EFETIVO!$F$2:$G$127,2,0)</f>
        <v>SD CÔRTES</v>
      </c>
      <c r="C96" s="978" t="str">
        <f>VLOOKUP(D96,EFETIVO!$F:$H,3,0)</f>
        <v>OPERADOR</v>
      </c>
      <c r="D96" s="955">
        <v>4889533</v>
      </c>
      <c r="E96" s="949"/>
      <c r="F96" s="950"/>
      <c r="G96" s="950"/>
      <c r="H96" s="950"/>
      <c r="I96" s="950"/>
      <c r="J96" s="950"/>
      <c r="K96" s="950"/>
      <c r="L96" s="950"/>
      <c r="M96" s="950"/>
      <c r="N96" s="950"/>
      <c r="O96" s="950"/>
      <c r="P96" s="950"/>
      <c r="Q96" s="950"/>
      <c r="R96" s="950"/>
      <c r="S96" s="950"/>
      <c r="T96" s="950"/>
      <c r="U96" s="950"/>
      <c r="V96" s="950"/>
      <c r="W96" s="950"/>
      <c r="X96" s="950"/>
      <c r="Y96" s="950"/>
      <c r="Z96" s="950"/>
      <c r="AA96" s="950"/>
      <c r="AB96" s="950"/>
      <c r="AC96" s="950"/>
      <c r="AD96" s="950"/>
      <c r="AE96" s="950"/>
      <c r="AF96" s="950"/>
      <c r="AG96" s="950"/>
      <c r="AH96" s="950"/>
      <c r="AI96" s="950"/>
      <c r="AJ96" s="962"/>
      <c r="AK96" s="957"/>
      <c r="AL96" s="937"/>
      <c r="AM96" s="968"/>
      <c r="AN96" s="968"/>
      <c r="AO96" s="968"/>
      <c r="AP96" s="968"/>
    </row>
    <row r="97" spans="1:42" s="930" customFormat="1" ht="20.25" customHeight="1" x14ac:dyDescent="0.2">
      <c r="A97" s="949" t="e">
        <f>VLOOKUP(D97,EFETIVO!$C$2:$D$223,2,0)</f>
        <v>#N/A</v>
      </c>
      <c r="B97" s="976">
        <f>VLOOKUP(D97,EFETIVO!$F$2:$G$127,2,0)</f>
        <v>0</v>
      </c>
      <c r="C97" s="978">
        <f>VLOOKUP(D97,EFETIVO!$F:$H,3,0)</f>
        <v>0</v>
      </c>
      <c r="D97" s="955"/>
      <c r="E97" s="949"/>
      <c r="F97" s="950"/>
      <c r="G97" s="950"/>
      <c r="H97" s="950"/>
      <c r="I97" s="950"/>
      <c r="J97" s="950"/>
      <c r="K97" s="950"/>
      <c r="L97" s="950"/>
      <c r="M97" s="950"/>
      <c r="N97" s="950"/>
      <c r="O97" s="950"/>
      <c r="P97" s="950"/>
      <c r="Q97" s="950"/>
      <c r="R97" s="950"/>
      <c r="S97" s="950"/>
      <c r="T97" s="950"/>
      <c r="U97" s="950"/>
      <c r="V97" s="950"/>
      <c r="W97" s="950"/>
      <c r="X97" s="950"/>
      <c r="Y97" s="950"/>
      <c r="Z97" s="950"/>
      <c r="AA97" s="950"/>
      <c r="AB97" s="950"/>
      <c r="AC97" s="950"/>
      <c r="AD97" s="950"/>
      <c r="AE97" s="950"/>
      <c r="AF97" s="950"/>
      <c r="AG97" s="950"/>
      <c r="AH97" s="950"/>
      <c r="AI97" s="950"/>
      <c r="AJ97" s="962"/>
      <c r="AK97" s="958"/>
      <c r="AL97" s="937"/>
      <c r="AM97" s="968"/>
      <c r="AN97" s="968"/>
      <c r="AO97" s="968"/>
      <c r="AP97" s="968"/>
    </row>
    <row r="98" spans="1:42" s="930" customFormat="1" ht="20.25" customHeight="1" x14ac:dyDescent="0.2">
      <c r="A98" s="949" t="e">
        <f>VLOOKUP(D98,EFETIVO!$C$2:$D$223,2,0)</f>
        <v>#N/A</v>
      </c>
      <c r="B98" s="976">
        <f>VLOOKUP(D98,EFETIVO!$F$2:$G$127,2,0)</f>
        <v>0</v>
      </c>
      <c r="C98" s="978">
        <f>VLOOKUP(D98,EFETIVO!$F:$H,3,0)</f>
        <v>0</v>
      </c>
      <c r="D98" s="955"/>
      <c r="E98" s="949"/>
      <c r="F98" s="950"/>
      <c r="G98" s="950"/>
      <c r="H98" s="950"/>
      <c r="I98" s="950"/>
      <c r="J98" s="950"/>
      <c r="K98" s="950"/>
      <c r="L98" s="950"/>
      <c r="M98" s="950"/>
      <c r="N98" s="950"/>
      <c r="O98" s="950"/>
      <c r="P98" s="950"/>
      <c r="Q98" s="950"/>
      <c r="R98" s="950"/>
      <c r="S98" s="950"/>
      <c r="T98" s="950"/>
      <c r="U98" s="950"/>
      <c r="V98" s="950"/>
      <c r="W98" s="950"/>
      <c r="X98" s="950"/>
      <c r="Y98" s="950"/>
      <c r="Z98" s="950"/>
      <c r="AA98" s="950"/>
      <c r="AB98" s="950"/>
      <c r="AC98" s="950"/>
      <c r="AD98" s="950"/>
      <c r="AE98" s="950"/>
      <c r="AF98" s="950"/>
      <c r="AG98" s="950"/>
      <c r="AH98" s="962"/>
      <c r="AI98" s="962"/>
      <c r="AJ98" s="962"/>
      <c r="AK98" s="959"/>
      <c r="AL98" s="937"/>
      <c r="AM98" s="968"/>
      <c r="AN98" s="968"/>
      <c r="AO98" s="968"/>
      <c r="AP98" s="968"/>
    </row>
    <row r="99" spans="1:42" s="930" customFormat="1" ht="20.25" customHeight="1" x14ac:dyDescent="0.2">
      <c r="A99" s="949" t="e">
        <f>VLOOKUP(D99,EFETIVO!$C$2:$D$223,2,0)</f>
        <v>#N/A</v>
      </c>
      <c r="B99" s="976">
        <f>VLOOKUP(D99,EFETIVO!$F$2:$G$127,2,0)</f>
        <v>0</v>
      </c>
      <c r="C99" s="978">
        <f>VLOOKUP(D99,EFETIVO!$F:$H,3,0)</f>
        <v>0</v>
      </c>
      <c r="D99" s="955"/>
      <c r="E99" s="949"/>
      <c r="F99" s="950"/>
      <c r="G99" s="950"/>
      <c r="H99" s="950"/>
      <c r="I99" s="950"/>
      <c r="J99" s="950"/>
      <c r="K99" s="950"/>
      <c r="L99" s="950"/>
      <c r="M99" s="950"/>
      <c r="N99" s="950"/>
      <c r="O99" s="950"/>
      <c r="P99" s="950"/>
      <c r="Q99" s="950"/>
      <c r="R99" s="950"/>
      <c r="S99" s="950"/>
      <c r="T99" s="950"/>
      <c r="U99" s="950"/>
      <c r="V99" s="950"/>
      <c r="W99" s="950"/>
      <c r="X99" s="950"/>
      <c r="Y99" s="950"/>
      <c r="Z99" s="950"/>
      <c r="AA99" s="950"/>
      <c r="AB99" s="950"/>
      <c r="AC99" s="950"/>
      <c r="AD99" s="950"/>
      <c r="AE99" s="950"/>
      <c r="AF99" s="950"/>
      <c r="AG99" s="950"/>
      <c r="AH99" s="950"/>
      <c r="AI99" s="950"/>
      <c r="AJ99" s="962"/>
      <c r="AK99" s="958"/>
      <c r="AL99" s="937"/>
      <c r="AM99" s="968"/>
      <c r="AN99" s="968"/>
      <c r="AO99" s="968"/>
      <c r="AP99" s="968"/>
    </row>
    <row r="100" spans="1:42" s="930" customFormat="1" ht="20.25" customHeight="1" x14ac:dyDescent="0.2">
      <c r="A100" s="949" t="e">
        <f>VLOOKUP(D100,EFETIVO!$C$2:$D$223,2,0)</f>
        <v>#N/A</v>
      </c>
      <c r="B100" s="976">
        <f>VLOOKUP(D100,EFETIVO!$F$2:$G$127,2,0)</f>
        <v>0</v>
      </c>
      <c r="C100" s="978">
        <f>VLOOKUP(D100,EFETIVO!$F:$H,3,0)</f>
        <v>0</v>
      </c>
      <c r="D100" s="955"/>
      <c r="E100" s="949"/>
      <c r="F100" s="950"/>
      <c r="G100" s="950"/>
      <c r="H100" s="950"/>
      <c r="I100" s="950"/>
      <c r="J100" s="950"/>
      <c r="K100" s="950"/>
      <c r="L100" s="950"/>
      <c r="M100" s="950"/>
      <c r="N100" s="950"/>
      <c r="O100" s="950"/>
      <c r="P100" s="950"/>
      <c r="Q100" s="950"/>
      <c r="R100" s="950"/>
      <c r="S100" s="950"/>
      <c r="T100" s="950"/>
      <c r="U100" s="950"/>
      <c r="V100" s="950"/>
      <c r="W100" s="950"/>
      <c r="X100" s="950"/>
      <c r="Y100" s="950"/>
      <c r="Z100" s="950"/>
      <c r="AA100" s="950"/>
      <c r="AB100" s="950"/>
      <c r="AC100" s="950"/>
      <c r="AD100" s="950"/>
      <c r="AE100" s="950"/>
      <c r="AF100" s="950"/>
      <c r="AG100" s="950"/>
      <c r="AH100" s="962"/>
      <c r="AI100" s="962"/>
      <c r="AJ100" s="962"/>
      <c r="AK100" s="933"/>
      <c r="AL100" s="937"/>
      <c r="AM100" s="968"/>
      <c r="AN100" s="968"/>
      <c r="AO100" s="968"/>
      <c r="AP100" s="968"/>
    </row>
    <row r="101" spans="1:42" s="930" customFormat="1" ht="20.25" customHeight="1" x14ac:dyDescent="0.2">
      <c r="A101" s="949" t="e">
        <f>VLOOKUP(D101,EFETIVO!$C$2:$D$223,2,0)</f>
        <v>#N/A</v>
      </c>
      <c r="B101" s="976">
        <f>VLOOKUP(D101,EFETIVO!$F$2:$G$127,2,0)</f>
        <v>0</v>
      </c>
      <c r="C101" s="978">
        <f>VLOOKUP(D101,EFETIVO!$F:$H,3,0)</f>
        <v>0</v>
      </c>
      <c r="D101" s="955"/>
      <c r="E101" s="949"/>
      <c r="F101" s="950"/>
      <c r="G101" s="950"/>
      <c r="H101" s="950"/>
      <c r="I101" s="950"/>
      <c r="J101" s="950"/>
      <c r="K101" s="950"/>
      <c r="L101" s="950"/>
      <c r="M101" s="950"/>
      <c r="N101" s="950"/>
      <c r="O101" s="950"/>
      <c r="P101" s="950"/>
      <c r="Q101" s="950"/>
      <c r="R101" s="950"/>
      <c r="S101" s="950"/>
      <c r="T101" s="950"/>
      <c r="U101" s="950"/>
      <c r="V101" s="962"/>
      <c r="W101" s="950"/>
      <c r="X101" s="950"/>
      <c r="Y101" s="950"/>
      <c r="Z101" s="950"/>
      <c r="AA101" s="950"/>
      <c r="AB101" s="950"/>
      <c r="AC101" s="950"/>
      <c r="AD101" s="950"/>
      <c r="AE101" s="950"/>
      <c r="AF101" s="950"/>
      <c r="AG101" s="950"/>
      <c r="AH101" s="962"/>
      <c r="AI101" s="962"/>
      <c r="AJ101" s="962"/>
      <c r="AK101" s="956"/>
      <c r="AL101" s="937"/>
      <c r="AM101" s="968"/>
      <c r="AN101" s="968"/>
      <c r="AO101" s="968"/>
      <c r="AP101" s="968"/>
    </row>
    <row r="102" spans="1:42" s="930" customFormat="1" ht="20.25" customHeight="1" x14ac:dyDescent="0.2">
      <c r="A102" s="949" t="e">
        <f>VLOOKUP(D102,EFETIVO!$C$2:$D$223,2,0)</f>
        <v>#N/A</v>
      </c>
      <c r="B102" s="976">
        <f>VLOOKUP(D102,EFETIVO!$F$2:$G$127,2,0)</f>
        <v>0</v>
      </c>
      <c r="C102" s="978">
        <f>VLOOKUP(D102,EFETIVO!$F:$H,3,0)</f>
        <v>0</v>
      </c>
      <c r="D102" s="955"/>
      <c r="E102" s="949"/>
      <c r="F102" s="950"/>
      <c r="G102" s="950"/>
      <c r="H102" s="950"/>
      <c r="I102" s="950"/>
      <c r="J102" s="950"/>
      <c r="K102" s="950"/>
      <c r="L102" s="950"/>
      <c r="M102" s="950"/>
      <c r="N102" s="950"/>
      <c r="O102" s="950"/>
      <c r="P102" s="950"/>
      <c r="Q102" s="950"/>
      <c r="R102" s="950"/>
      <c r="S102" s="950"/>
      <c r="T102" s="950"/>
      <c r="U102" s="950"/>
      <c r="V102" s="962"/>
      <c r="W102" s="950"/>
      <c r="X102" s="950"/>
      <c r="Y102" s="950"/>
      <c r="Z102" s="950"/>
      <c r="AA102" s="950"/>
      <c r="AB102" s="950"/>
      <c r="AC102" s="950"/>
      <c r="AD102" s="950"/>
      <c r="AE102" s="950"/>
      <c r="AF102" s="950"/>
      <c r="AG102" s="950"/>
      <c r="AH102" s="962"/>
      <c r="AI102" s="962"/>
      <c r="AJ102" s="962"/>
      <c r="AK102" s="956"/>
      <c r="AL102" s="937"/>
      <c r="AM102" s="968"/>
      <c r="AN102" s="968"/>
      <c r="AO102" s="968"/>
      <c r="AP102" s="968"/>
    </row>
    <row r="103" spans="1:42" s="930" customFormat="1" ht="20.25" customHeight="1" x14ac:dyDescent="0.2">
      <c r="A103" s="949" t="e">
        <f>VLOOKUP(D103,EFETIVO!$C$2:$D$223,2,0)</f>
        <v>#N/A</v>
      </c>
      <c r="B103" s="976">
        <f>VLOOKUP(D103,EFETIVO!$F$2:$G$127,2,0)</f>
        <v>0</v>
      </c>
      <c r="C103" s="978">
        <f>VLOOKUP(D103,EFETIVO!$F:$H,3,0)</f>
        <v>0</v>
      </c>
      <c r="D103" s="955"/>
      <c r="E103" s="949"/>
      <c r="F103" s="950"/>
      <c r="G103" s="950"/>
      <c r="H103" s="950"/>
      <c r="I103" s="950"/>
      <c r="J103" s="950"/>
      <c r="K103" s="950"/>
      <c r="L103" s="950"/>
      <c r="M103" s="950"/>
      <c r="N103" s="950"/>
      <c r="O103" s="950"/>
      <c r="P103" s="950"/>
      <c r="Q103" s="950"/>
      <c r="R103" s="950"/>
      <c r="S103" s="950"/>
      <c r="T103" s="950"/>
      <c r="U103" s="950"/>
      <c r="V103" s="962"/>
      <c r="W103" s="950"/>
      <c r="X103" s="950"/>
      <c r="Y103" s="950"/>
      <c r="Z103" s="950"/>
      <c r="AA103" s="950"/>
      <c r="AB103" s="950"/>
      <c r="AC103" s="950"/>
      <c r="AD103" s="950"/>
      <c r="AE103" s="950"/>
      <c r="AF103" s="950"/>
      <c r="AG103" s="950"/>
      <c r="AH103" s="962"/>
      <c r="AI103" s="962"/>
      <c r="AJ103" s="962"/>
      <c r="AK103" s="956"/>
      <c r="AL103" s="937"/>
      <c r="AM103" s="968"/>
      <c r="AN103" s="968"/>
      <c r="AO103" s="968"/>
      <c r="AP103" s="968"/>
    </row>
    <row r="104" spans="1:42" s="930" customFormat="1" ht="20.25" customHeight="1" x14ac:dyDescent="0.2">
      <c r="A104" s="949" t="e">
        <f>VLOOKUP(D104,EFETIVO!$C$2:$D$223,2,0)</f>
        <v>#N/A</v>
      </c>
      <c r="B104" s="976">
        <f>VLOOKUP(D104,EFETIVO!$F$2:$G$127,2,0)</f>
        <v>0</v>
      </c>
      <c r="C104" s="978">
        <f>VLOOKUP(D104,EFETIVO!$F:$H,3,0)</f>
        <v>0</v>
      </c>
      <c r="D104" s="955"/>
      <c r="E104" s="949"/>
      <c r="F104" s="950"/>
      <c r="G104" s="950"/>
      <c r="H104" s="950"/>
      <c r="I104" s="950"/>
      <c r="J104" s="950"/>
      <c r="K104" s="950"/>
      <c r="L104" s="950"/>
      <c r="M104" s="950"/>
      <c r="N104" s="950"/>
      <c r="O104" s="950"/>
      <c r="P104" s="950"/>
      <c r="Q104" s="950"/>
      <c r="R104" s="950"/>
      <c r="S104" s="950"/>
      <c r="T104" s="950"/>
      <c r="U104" s="950"/>
      <c r="V104" s="962"/>
      <c r="W104" s="950"/>
      <c r="X104" s="950"/>
      <c r="Y104" s="950"/>
      <c r="Z104" s="950"/>
      <c r="AA104" s="950"/>
      <c r="AB104" s="950"/>
      <c r="AC104" s="950"/>
      <c r="AD104" s="950"/>
      <c r="AE104" s="950"/>
      <c r="AF104" s="950"/>
      <c r="AG104" s="950"/>
      <c r="AH104" s="962"/>
      <c r="AI104" s="962"/>
      <c r="AJ104" s="962"/>
      <c r="AK104" s="956"/>
      <c r="AL104" s="937"/>
      <c r="AM104" s="968"/>
      <c r="AN104" s="968"/>
      <c r="AO104" s="968"/>
      <c r="AP104" s="968"/>
    </row>
    <row r="105" spans="1:42" s="930" customFormat="1" ht="20.25" customHeight="1" x14ac:dyDescent="0.2">
      <c r="A105" s="949" t="e">
        <f>VLOOKUP(D105,EFETIVO!$C$2:$D$223,2,0)</f>
        <v>#N/A</v>
      </c>
      <c r="B105" s="976">
        <f>VLOOKUP(D105,EFETIVO!$F$2:$G$127,2,0)</f>
        <v>0</v>
      </c>
      <c r="C105" s="978">
        <f>VLOOKUP(D105,EFETIVO!$F:$H,3,0)</f>
        <v>0</v>
      </c>
      <c r="D105" s="955"/>
      <c r="E105" s="949"/>
      <c r="F105" s="950"/>
      <c r="G105" s="950"/>
      <c r="H105" s="950"/>
      <c r="I105" s="950"/>
      <c r="J105" s="950"/>
      <c r="K105" s="950"/>
      <c r="L105" s="950"/>
      <c r="M105" s="950"/>
      <c r="N105" s="950"/>
      <c r="O105" s="950"/>
      <c r="P105" s="950"/>
      <c r="Q105" s="950"/>
      <c r="R105" s="950"/>
      <c r="S105" s="950"/>
      <c r="T105" s="950"/>
      <c r="U105" s="950"/>
      <c r="V105" s="950"/>
      <c r="W105" s="950"/>
      <c r="X105" s="950"/>
      <c r="Y105" s="950"/>
      <c r="Z105" s="950"/>
      <c r="AA105" s="950"/>
      <c r="AB105" s="950"/>
      <c r="AC105" s="950"/>
      <c r="AD105" s="950"/>
      <c r="AE105" s="950"/>
      <c r="AF105" s="950"/>
      <c r="AG105" s="950"/>
      <c r="AH105" s="950"/>
      <c r="AI105" s="950"/>
      <c r="AJ105" s="962"/>
      <c r="AK105" s="958"/>
      <c r="AL105" s="937"/>
      <c r="AM105" s="968"/>
      <c r="AN105" s="968"/>
      <c r="AO105" s="968"/>
      <c r="AP105" s="968"/>
    </row>
    <row r="106" spans="1:42" s="930" customFormat="1" ht="20.25" customHeight="1" x14ac:dyDescent="0.2">
      <c r="A106" s="949" t="e">
        <f>VLOOKUP(D106,EFETIVO!$C$2:$D$223,2,0)</f>
        <v>#N/A</v>
      </c>
      <c r="B106" s="976">
        <f>VLOOKUP(D106,EFETIVO!$F$2:$G$127,2,0)</f>
        <v>0</v>
      </c>
      <c r="C106" s="978">
        <f>VLOOKUP(D106,EFETIVO!$F:$H,3,0)</f>
        <v>0</v>
      </c>
      <c r="D106" s="949"/>
      <c r="E106" s="949"/>
      <c r="F106" s="950"/>
      <c r="G106" s="950"/>
      <c r="H106" s="950"/>
      <c r="I106" s="950"/>
      <c r="J106" s="950"/>
      <c r="K106" s="950"/>
      <c r="L106" s="950"/>
      <c r="M106" s="950"/>
      <c r="N106" s="950"/>
      <c r="O106" s="950"/>
      <c r="P106" s="950"/>
      <c r="Q106" s="950"/>
      <c r="R106" s="950"/>
      <c r="S106" s="950"/>
      <c r="T106" s="950"/>
      <c r="U106" s="950"/>
      <c r="V106" s="950"/>
      <c r="W106" s="950"/>
      <c r="X106" s="950"/>
      <c r="Y106" s="950"/>
      <c r="Z106" s="950"/>
      <c r="AA106" s="950"/>
      <c r="AB106" s="950"/>
      <c r="AC106" s="950"/>
      <c r="AD106" s="950"/>
      <c r="AE106" s="950"/>
      <c r="AF106" s="950"/>
      <c r="AG106" s="950"/>
      <c r="AH106" s="962"/>
      <c r="AI106" s="962"/>
      <c r="AJ106" s="962"/>
      <c r="AK106" s="958"/>
      <c r="AL106" s="937"/>
      <c r="AM106" s="968"/>
      <c r="AN106" s="968"/>
      <c r="AO106" s="968"/>
      <c r="AP106" s="968"/>
    </row>
    <row r="107" spans="1:42" s="930" customFormat="1" ht="20.25" customHeight="1" x14ac:dyDescent="0.2">
      <c r="A107" s="949"/>
      <c r="B107" s="976">
        <f>VLOOKUP(D107,EFETIVO!$F$2:$G$127,2,0)</f>
        <v>0</v>
      </c>
      <c r="C107" s="978">
        <f>VLOOKUP(D107,EFETIVO!$F:$H,3,0)</f>
        <v>0</v>
      </c>
      <c r="D107" s="955"/>
      <c r="E107" s="949"/>
      <c r="F107" s="950"/>
      <c r="G107" s="950"/>
      <c r="H107" s="950"/>
      <c r="I107" s="950"/>
      <c r="J107" s="950"/>
      <c r="K107" s="950"/>
      <c r="L107" s="950"/>
      <c r="M107" s="950"/>
      <c r="N107" s="950"/>
      <c r="O107" s="950"/>
      <c r="P107" s="950"/>
      <c r="Q107" s="950"/>
      <c r="R107" s="950"/>
      <c r="S107" s="950"/>
      <c r="T107" s="950"/>
      <c r="U107" s="950"/>
      <c r="V107" s="950"/>
      <c r="W107" s="950"/>
      <c r="X107" s="950"/>
      <c r="Y107" s="950"/>
      <c r="Z107" s="950"/>
      <c r="AA107" s="950"/>
      <c r="AB107" s="950"/>
      <c r="AC107" s="950"/>
      <c r="AD107" s="950"/>
      <c r="AE107" s="950"/>
      <c r="AF107" s="950"/>
      <c r="AG107" s="950"/>
      <c r="AH107" s="950"/>
      <c r="AI107" s="950"/>
      <c r="AJ107" s="950"/>
      <c r="AK107" s="933"/>
      <c r="AL107" s="937"/>
      <c r="AM107" s="968"/>
      <c r="AN107" s="968"/>
      <c r="AO107" s="968"/>
      <c r="AP107" s="968"/>
    </row>
    <row r="108" spans="1:42" s="930" customFormat="1" ht="20.25" customHeight="1" x14ac:dyDescent="0.2">
      <c r="B108" s="936"/>
      <c r="C108" s="1029"/>
      <c r="D108" s="936"/>
      <c r="E108" s="936"/>
      <c r="AH108" s="968"/>
      <c r="AI108" s="968"/>
      <c r="AJ108" s="968"/>
      <c r="AL108" s="937"/>
      <c r="AM108" s="968"/>
      <c r="AN108" s="968"/>
      <c r="AO108" s="968"/>
      <c r="AP108" s="968"/>
    </row>
    <row r="109" spans="1:42" s="930" customFormat="1" ht="20.25" customHeight="1" x14ac:dyDescent="0.2">
      <c r="B109" s="936"/>
      <c r="C109" s="936"/>
      <c r="D109" s="936"/>
      <c r="E109" s="936"/>
      <c r="AH109" s="983"/>
      <c r="AI109" s="983"/>
      <c r="AJ109" s="968"/>
      <c r="AL109" s="937"/>
      <c r="AM109" s="968"/>
      <c r="AN109" s="968"/>
      <c r="AO109" s="968"/>
      <c r="AP109" s="968"/>
    </row>
    <row r="110" spans="1:42" s="930" customFormat="1" ht="20.25" customHeight="1" x14ac:dyDescent="0.2">
      <c r="B110" s="936"/>
      <c r="C110" s="936"/>
      <c r="D110" s="936"/>
      <c r="E110" s="936"/>
      <c r="AH110" s="983"/>
      <c r="AI110" s="983"/>
      <c r="AJ110" s="968"/>
      <c r="AL110" s="937"/>
      <c r="AM110" s="968"/>
      <c r="AN110" s="968"/>
      <c r="AO110" s="968"/>
      <c r="AP110" s="968"/>
    </row>
    <row r="111" spans="1:42" s="930" customFormat="1" ht="20.25" customHeight="1" x14ac:dyDescent="0.2">
      <c r="B111" s="936"/>
      <c r="C111" s="936"/>
      <c r="D111" s="936"/>
      <c r="E111" s="936"/>
      <c r="AH111" s="983"/>
      <c r="AI111" s="983"/>
      <c r="AJ111" s="968"/>
      <c r="AL111" s="937"/>
      <c r="AM111" s="968"/>
      <c r="AN111" s="968"/>
      <c r="AO111" s="968"/>
      <c r="AP111" s="968"/>
    </row>
    <row r="112" spans="1:42" s="930" customFormat="1" ht="20.25" customHeight="1" x14ac:dyDescent="0.2">
      <c r="B112" s="936"/>
      <c r="C112" s="936"/>
      <c r="D112" s="936"/>
      <c r="E112" s="936"/>
      <c r="AH112" s="983"/>
      <c r="AI112" s="983"/>
      <c r="AJ112" s="968"/>
      <c r="AL112" s="937"/>
      <c r="AM112" s="968"/>
      <c r="AN112" s="968"/>
      <c r="AO112" s="968"/>
      <c r="AP112" s="968"/>
    </row>
    <row r="113" spans="2:42" s="930" customFormat="1" ht="20.25" customHeight="1" x14ac:dyDescent="0.2">
      <c r="B113" s="936"/>
      <c r="C113" s="936"/>
      <c r="D113" s="936"/>
      <c r="E113" s="936"/>
      <c r="AH113" s="983"/>
      <c r="AI113" s="983"/>
      <c r="AJ113" s="968"/>
      <c r="AL113" s="937"/>
      <c r="AM113" s="968"/>
      <c r="AN113" s="968"/>
      <c r="AO113" s="968"/>
      <c r="AP113" s="968"/>
    </row>
    <row r="114" spans="2:42" s="930" customFormat="1" ht="20.25" customHeight="1" x14ac:dyDescent="0.2">
      <c r="B114" s="936"/>
      <c r="C114" s="936"/>
      <c r="D114" s="936"/>
      <c r="E114" s="936"/>
      <c r="AH114" s="983"/>
      <c r="AI114" s="983"/>
      <c r="AJ114" s="968"/>
      <c r="AL114" s="937"/>
      <c r="AM114" s="968"/>
      <c r="AN114" s="968"/>
      <c r="AO114" s="968"/>
      <c r="AP114" s="968"/>
    </row>
    <row r="115" spans="2:42" s="930" customFormat="1" ht="20.25" customHeight="1" x14ac:dyDescent="0.2">
      <c r="B115" s="936"/>
      <c r="C115" s="936"/>
      <c r="D115" s="936"/>
      <c r="E115" s="936"/>
      <c r="AH115" s="983"/>
      <c r="AI115" s="983"/>
      <c r="AJ115" s="968"/>
      <c r="AL115" s="937"/>
      <c r="AM115" s="968"/>
      <c r="AN115" s="968"/>
      <c r="AO115" s="968"/>
      <c r="AP115" s="968"/>
    </row>
    <row r="116" spans="2:42" s="930" customFormat="1" ht="20.25" customHeight="1" x14ac:dyDescent="0.2">
      <c r="B116" s="936"/>
      <c r="C116" s="936"/>
      <c r="D116" s="936"/>
      <c r="E116" s="936"/>
      <c r="AH116" s="983"/>
      <c r="AI116" s="983"/>
      <c r="AJ116" s="968"/>
      <c r="AL116" s="937"/>
      <c r="AM116" s="968"/>
      <c r="AN116" s="968"/>
      <c r="AO116" s="968"/>
      <c r="AP116" s="968"/>
    </row>
    <row r="117" spans="2:42" s="930" customFormat="1" ht="20.25" customHeight="1" x14ac:dyDescent="0.2">
      <c r="B117" s="977"/>
      <c r="C117" s="936"/>
      <c r="D117" s="936"/>
      <c r="E117" s="936"/>
      <c r="AH117" s="983"/>
      <c r="AI117" s="983"/>
      <c r="AJ117" s="968"/>
      <c r="AL117" s="937"/>
      <c r="AM117" s="968"/>
      <c r="AN117" s="968"/>
      <c r="AO117" s="968"/>
      <c r="AP117" s="968"/>
    </row>
    <row r="118" spans="2:42" s="930" customFormat="1" ht="20.25" customHeight="1" x14ac:dyDescent="0.2">
      <c r="B118" s="977"/>
      <c r="C118" s="936"/>
      <c r="D118" s="936"/>
      <c r="E118" s="936"/>
      <c r="AH118" s="983"/>
      <c r="AI118" s="983"/>
      <c r="AJ118" s="968"/>
      <c r="AL118" s="937"/>
      <c r="AM118" s="968"/>
      <c r="AN118" s="968"/>
      <c r="AO118" s="968"/>
      <c r="AP118" s="968"/>
    </row>
    <row r="119" spans="2:42" s="930" customFormat="1" ht="20.25" customHeight="1" x14ac:dyDescent="0.2">
      <c r="B119" s="977"/>
      <c r="C119" s="936"/>
      <c r="D119" s="936"/>
      <c r="E119" s="936"/>
      <c r="AH119" s="983"/>
      <c r="AI119" s="983"/>
      <c r="AJ119" s="968"/>
      <c r="AL119" s="937"/>
      <c r="AM119" s="968"/>
      <c r="AN119" s="968"/>
      <c r="AO119" s="968"/>
      <c r="AP119" s="968"/>
    </row>
    <row r="120" spans="2:42" s="930" customFormat="1" ht="20.25" customHeight="1" x14ac:dyDescent="0.2">
      <c r="B120" s="977"/>
      <c r="C120" s="936"/>
      <c r="D120" s="936"/>
      <c r="E120" s="936"/>
      <c r="AH120" s="983"/>
      <c r="AI120" s="983"/>
      <c r="AJ120" s="968"/>
      <c r="AL120" s="937"/>
      <c r="AM120" s="968"/>
      <c r="AN120" s="968"/>
      <c r="AO120" s="968"/>
      <c r="AP120" s="968"/>
    </row>
    <row r="121" spans="2:42" s="930" customFormat="1" ht="20.25" customHeight="1" x14ac:dyDescent="0.2">
      <c r="B121" s="977"/>
      <c r="C121" s="936"/>
      <c r="D121" s="936"/>
      <c r="E121" s="936"/>
      <c r="AH121" s="983"/>
      <c r="AI121" s="983"/>
      <c r="AJ121" s="968"/>
      <c r="AL121" s="937"/>
      <c r="AM121" s="968"/>
      <c r="AN121" s="968"/>
      <c r="AO121" s="968"/>
      <c r="AP121" s="968"/>
    </row>
    <row r="122" spans="2:42" s="930" customFormat="1" ht="20.25" customHeight="1" x14ac:dyDescent="0.2">
      <c r="B122" s="977"/>
      <c r="C122" s="936"/>
      <c r="D122" s="936"/>
      <c r="E122" s="936"/>
      <c r="AH122" s="983"/>
      <c r="AI122" s="983"/>
      <c r="AJ122" s="968"/>
      <c r="AL122" s="937"/>
      <c r="AM122" s="968"/>
      <c r="AN122" s="968"/>
      <c r="AO122" s="968"/>
      <c r="AP122" s="968"/>
    </row>
    <row r="123" spans="2:42" s="930" customFormat="1" ht="20.25" customHeight="1" x14ac:dyDescent="0.2">
      <c r="B123" s="977"/>
      <c r="C123" s="936"/>
      <c r="D123" s="936"/>
      <c r="E123" s="936"/>
      <c r="AH123" s="983"/>
      <c r="AI123" s="983"/>
      <c r="AJ123" s="968"/>
      <c r="AL123" s="937"/>
      <c r="AM123" s="968"/>
      <c r="AN123" s="968"/>
      <c r="AO123" s="968"/>
      <c r="AP123" s="968"/>
    </row>
    <row r="124" spans="2:42" s="930" customFormat="1" ht="20.25" customHeight="1" x14ac:dyDescent="0.2">
      <c r="B124" s="977"/>
      <c r="C124" s="936"/>
      <c r="D124" s="936"/>
      <c r="E124" s="936"/>
      <c r="AH124" s="983"/>
      <c r="AI124" s="983"/>
      <c r="AJ124" s="968"/>
      <c r="AL124" s="937"/>
      <c r="AM124" s="968"/>
      <c r="AN124" s="968"/>
      <c r="AO124" s="968"/>
      <c r="AP124" s="968"/>
    </row>
    <row r="125" spans="2:42" s="930" customFormat="1" ht="20.25" customHeight="1" x14ac:dyDescent="0.2">
      <c r="B125" s="977"/>
      <c r="C125" s="936"/>
      <c r="D125" s="936"/>
      <c r="E125" s="936"/>
      <c r="AH125" s="983"/>
      <c r="AI125" s="983"/>
      <c r="AJ125" s="968"/>
      <c r="AL125" s="937"/>
      <c r="AM125" s="968"/>
      <c r="AN125" s="968"/>
      <c r="AO125" s="968"/>
      <c r="AP125" s="968"/>
    </row>
    <row r="126" spans="2:42" s="930" customFormat="1" ht="20.25" customHeight="1" x14ac:dyDescent="0.2">
      <c r="B126" s="977"/>
      <c r="C126" s="936"/>
      <c r="D126" s="936"/>
      <c r="E126" s="936"/>
      <c r="AH126" s="983"/>
      <c r="AI126" s="983"/>
      <c r="AJ126" s="968"/>
      <c r="AL126" s="937"/>
      <c r="AM126" s="968"/>
      <c r="AN126" s="968"/>
      <c r="AO126" s="968"/>
      <c r="AP126" s="968"/>
    </row>
    <row r="127" spans="2:42" s="930" customFormat="1" ht="20.25" customHeight="1" x14ac:dyDescent="0.2">
      <c r="B127" s="977"/>
      <c r="C127" s="936"/>
      <c r="D127" s="936"/>
      <c r="E127" s="936"/>
      <c r="AH127" s="983"/>
      <c r="AI127" s="983"/>
      <c r="AJ127" s="968"/>
      <c r="AL127" s="937"/>
      <c r="AM127" s="968"/>
      <c r="AN127" s="968"/>
      <c r="AO127" s="968"/>
      <c r="AP127" s="968"/>
    </row>
    <row r="128" spans="2:42" s="930" customFormat="1" ht="20.25" customHeight="1" x14ac:dyDescent="0.2">
      <c r="B128" s="977"/>
      <c r="C128" s="936"/>
      <c r="D128" s="936"/>
      <c r="E128" s="936"/>
      <c r="AH128" s="983"/>
      <c r="AI128" s="983"/>
      <c r="AJ128" s="968"/>
      <c r="AL128" s="937"/>
      <c r="AM128" s="968"/>
      <c r="AN128" s="968"/>
      <c r="AO128" s="968"/>
      <c r="AP128" s="968"/>
    </row>
    <row r="129" spans="2:42" s="930" customFormat="1" ht="20.25" customHeight="1" x14ac:dyDescent="0.2">
      <c r="B129" s="977"/>
      <c r="C129" s="936"/>
      <c r="D129" s="936"/>
      <c r="E129" s="936"/>
      <c r="AH129" s="983"/>
      <c r="AI129" s="983"/>
      <c r="AJ129" s="968"/>
      <c r="AL129" s="937"/>
      <c r="AM129" s="968"/>
      <c r="AN129" s="968"/>
      <c r="AO129" s="968"/>
      <c r="AP129" s="968"/>
    </row>
    <row r="130" spans="2:42" s="930" customFormat="1" ht="20.25" customHeight="1" x14ac:dyDescent="0.2">
      <c r="B130" s="977"/>
      <c r="C130" s="936"/>
      <c r="D130" s="936"/>
      <c r="E130" s="936"/>
      <c r="AH130" s="983"/>
      <c r="AI130" s="983"/>
      <c r="AJ130" s="968"/>
      <c r="AL130" s="937"/>
      <c r="AM130" s="968"/>
      <c r="AN130" s="968"/>
      <c r="AO130" s="968"/>
      <c r="AP130" s="968"/>
    </row>
    <row r="131" spans="2:42" s="930" customFormat="1" ht="20.25" customHeight="1" x14ac:dyDescent="0.2">
      <c r="B131" s="977"/>
      <c r="C131" s="936"/>
      <c r="D131" s="936"/>
      <c r="E131" s="936"/>
      <c r="AH131" s="983"/>
      <c r="AI131" s="983"/>
      <c r="AJ131" s="968"/>
      <c r="AL131" s="937"/>
      <c r="AM131" s="968"/>
      <c r="AN131" s="968"/>
      <c r="AO131" s="968"/>
      <c r="AP131" s="968"/>
    </row>
    <row r="132" spans="2:42" s="930" customFormat="1" ht="20.25" customHeight="1" x14ac:dyDescent="0.2">
      <c r="B132" s="977"/>
      <c r="C132" s="936"/>
      <c r="D132" s="936"/>
      <c r="E132" s="936"/>
      <c r="AH132" s="983"/>
      <c r="AI132" s="983"/>
      <c r="AJ132" s="968"/>
      <c r="AL132" s="937"/>
      <c r="AM132" s="968"/>
      <c r="AN132" s="968"/>
      <c r="AO132" s="968"/>
      <c r="AP132" s="968"/>
    </row>
    <row r="133" spans="2:42" s="930" customFormat="1" ht="20.25" customHeight="1" x14ac:dyDescent="0.2">
      <c r="B133" s="977"/>
      <c r="C133" s="936"/>
      <c r="D133" s="936"/>
      <c r="E133" s="936"/>
      <c r="AH133" s="983"/>
      <c r="AI133" s="983"/>
      <c r="AJ133" s="968"/>
      <c r="AL133" s="937"/>
      <c r="AM133" s="968"/>
      <c r="AN133" s="968"/>
      <c r="AO133" s="968"/>
      <c r="AP133" s="968"/>
    </row>
    <row r="134" spans="2:42" s="930" customFormat="1" ht="20.25" customHeight="1" x14ac:dyDescent="0.2">
      <c r="B134" s="977"/>
      <c r="C134" s="936"/>
      <c r="D134" s="936"/>
      <c r="E134" s="936"/>
      <c r="AH134" s="983"/>
      <c r="AI134" s="983"/>
      <c r="AJ134" s="968"/>
      <c r="AL134" s="937"/>
      <c r="AM134" s="968"/>
      <c r="AN134" s="968"/>
      <c r="AO134" s="968"/>
      <c r="AP134" s="968"/>
    </row>
    <row r="135" spans="2:42" s="930" customFormat="1" ht="20.25" customHeight="1" x14ac:dyDescent="0.2">
      <c r="B135" s="977"/>
      <c r="C135" s="936"/>
      <c r="D135" s="936"/>
      <c r="E135" s="936"/>
      <c r="AH135" s="983"/>
      <c r="AI135" s="983"/>
      <c r="AJ135" s="968"/>
      <c r="AL135" s="937"/>
      <c r="AM135" s="968"/>
      <c r="AN135" s="968"/>
      <c r="AO135" s="968"/>
      <c r="AP135" s="968"/>
    </row>
    <row r="136" spans="2:42" s="930" customFormat="1" ht="20.25" customHeight="1" x14ac:dyDescent="0.2">
      <c r="B136" s="977"/>
      <c r="C136" s="936"/>
      <c r="D136" s="936"/>
      <c r="E136" s="936"/>
      <c r="AH136" s="983"/>
      <c r="AI136" s="983"/>
      <c r="AJ136" s="968"/>
      <c r="AL136" s="937"/>
      <c r="AM136" s="968"/>
      <c r="AN136" s="968"/>
      <c r="AO136" s="968"/>
      <c r="AP136" s="968"/>
    </row>
    <row r="137" spans="2:42" s="930" customFormat="1" ht="20.25" customHeight="1" x14ac:dyDescent="0.2">
      <c r="C137" s="936"/>
      <c r="D137" s="936"/>
      <c r="E137" s="936"/>
      <c r="AH137" s="983"/>
      <c r="AI137" s="983"/>
      <c r="AJ137" s="968"/>
      <c r="AL137" s="937"/>
      <c r="AM137" s="968"/>
      <c r="AN137" s="968"/>
      <c r="AO137" s="968"/>
      <c r="AP137" s="968"/>
    </row>
    <row r="138" spans="2:42" s="930" customFormat="1" ht="20.25" customHeight="1" x14ac:dyDescent="0.2">
      <c r="C138" s="936"/>
      <c r="D138" s="936"/>
      <c r="E138" s="936"/>
      <c r="AH138" s="983"/>
      <c r="AI138" s="983"/>
      <c r="AJ138" s="968"/>
      <c r="AL138" s="937"/>
    </row>
    <row r="139" spans="2:42" s="930" customFormat="1" ht="20.25" customHeight="1" x14ac:dyDescent="0.2">
      <c r="C139" s="936"/>
      <c r="D139" s="936"/>
      <c r="E139" s="936"/>
      <c r="AH139" s="983"/>
      <c r="AI139" s="983"/>
      <c r="AJ139" s="968"/>
      <c r="AL139" s="937"/>
    </row>
    <row r="140" spans="2:42" s="930" customFormat="1" ht="20.25" customHeight="1" x14ac:dyDescent="0.2">
      <c r="C140" s="936"/>
      <c r="D140" s="936"/>
      <c r="E140" s="936"/>
      <c r="AH140" s="983"/>
      <c r="AI140" s="983"/>
      <c r="AJ140" s="968"/>
      <c r="AL140" s="937"/>
    </row>
    <row r="141" spans="2:42" s="930" customFormat="1" ht="20.25" customHeight="1" x14ac:dyDescent="0.2">
      <c r="B141" s="936"/>
      <c r="C141" s="936"/>
      <c r="D141" s="936"/>
      <c r="E141" s="936"/>
      <c r="AH141" s="983"/>
      <c r="AI141" s="983"/>
      <c r="AJ141" s="968"/>
      <c r="AL141" s="937"/>
    </row>
    <row r="142" spans="2:42" s="930" customFormat="1" ht="20.25" customHeight="1" x14ac:dyDescent="0.2">
      <c r="B142" s="936"/>
      <c r="C142" s="936"/>
      <c r="D142" s="936"/>
      <c r="E142" s="936"/>
      <c r="AH142" s="983"/>
      <c r="AI142" s="983"/>
      <c r="AJ142" s="968"/>
      <c r="AL142" s="937"/>
    </row>
    <row r="143" spans="2:42" s="930" customFormat="1" ht="20.25" customHeight="1" x14ac:dyDescent="0.2">
      <c r="B143" s="936"/>
      <c r="C143" s="936"/>
      <c r="D143" s="936"/>
      <c r="E143" s="936"/>
      <c r="AH143" s="983"/>
      <c r="AI143" s="983"/>
      <c r="AJ143" s="968"/>
      <c r="AL143" s="937"/>
    </row>
    <row r="144" spans="2:42" s="930" customFormat="1" ht="20.25" customHeight="1" x14ac:dyDescent="0.2">
      <c r="B144" s="936"/>
      <c r="C144" s="936"/>
      <c r="D144" s="936"/>
      <c r="E144" s="936"/>
      <c r="AH144" s="983"/>
      <c r="AI144" s="983"/>
      <c r="AJ144" s="968"/>
      <c r="AL144" s="937"/>
    </row>
    <row r="145" spans="2:38" s="930" customFormat="1" ht="20.25" customHeight="1" x14ac:dyDescent="0.2">
      <c r="B145" s="936"/>
      <c r="C145" s="936"/>
      <c r="D145" s="936"/>
      <c r="E145" s="936"/>
      <c r="AH145" s="983"/>
      <c r="AI145" s="983"/>
      <c r="AJ145" s="968"/>
      <c r="AL145" s="937"/>
    </row>
    <row r="146" spans="2:38" s="930" customFormat="1" ht="20.25" customHeight="1" x14ac:dyDescent="0.2">
      <c r="B146" s="936"/>
      <c r="C146" s="936"/>
      <c r="D146" s="936"/>
      <c r="E146" s="936"/>
      <c r="AH146" s="983"/>
      <c r="AI146" s="983"/>
      <c r="AJ146" s="968"/>
      <c r="AL146" s="937"/>
    </row>
    <row r="147" spans="2:38" s="930" customFormat="1" ht="20.25" customHeight="1" x14ac:dyDescent="0.2">
      <c r="B147" s="936"/>
      <c r="C147" s="936"/>
      <c r="D147" s="936"/>
      <c r="E147" s="936"/>
      <c r="AH147" s="983"/>
      <c r="AI147" s="983"/>
      <c r="AJ147" s="968"/>
      <c r="AL147" s="937"/>
    </row>
    <row r="148" spans="2:38" s="930" customFormat="1" ht="20.25" customHeight="1" x14ac:dyDescent="0.2">
      <c r="B148" s="936"/>
      <c r="C148" s="936"/>
      <c r="D148" s="936"/>
      <c r="E148" s="936"/>
      <c r="AH148" s="983"/>
      <c r="AI148" s="983"/>
      <c r="AJ148" s="968"/>
      <c r="AL148" s="937"/>
    </row>
    <row r="149" spans="2:38" s="930" customFormat="1" ht="20.25" customHeight="1" x14ac:dyDescent="0.2">
      <c r="B149" s="936"/>
      <c r="C149" s="936"/>
      <c r="D149" s="936"/>
      <c r="E149" s="936"/>
      <c r="AH149" s="983"/>
      <c r="AI149" s="983"/>
      <c r="AJ149" s="968"/>
      <c r="AL149" s="937"/>
    </row>
    <row r="150" spans="2:38" s="930" customFormat="1" ht="20.25" customHeight="1" x14ac:dyDescent="0.2">
      <c r="B150" s="936"/>
      <c r="C150" s="936"/>
      <c r="D150" s="936"/>
      <c r="E150" s="936"/>
      <c r="AH150" s="983"/>
      <c r="AI150" s="983"/>
      <c r="AJ150" s="968"/>
      <c r="AL150" s="937"/>
    </row>
    <row r="151" spans="2:38" s="930" customFormat="1" ht="20.25" customHeight="1" x14ac:dyDescent="0.2">
      <c r="B151" s="936"/>
      <c r="C151" s="936"/>
      <c r="D151" s="936"/>
      <c r="E151" s="936"/>
      <c r="AH151" s="983"/>
      <c r="AI151" s="983"/>
      <c r="AJ151" s="968"/>
      <c r="AL151" s="937"/>
    </row>
    <row r="152" spans="2:38" s="930" customFormat="1" ht="20.25" customHeight="1" x14ac:dyDescent="0.2">
      <c r="B152" s="936"/>
      <c r="C152" s="936"/>
      <c r="D152" s="936"/>
      <c r="E152" s="936"/>
      <c r="AH152" s="983"/>
      <c r="AI152" s="983"/>
      <c r="AJ152" s="968"/>
      <c r="AL152" s="937"/>
    </row>
    <row r="153" spans="2:38" s="930" customFormat="1" ht="20.25" customHeight="1" x14ac:dyDescent="0.2">
      <c r="B153" s="936"/>
      <c r="C153" s="936"/>
      <c r="D153" s="936"/>
      <c r="E153" s="936"/>
      <c r="AH153" s="983"/>
      <c r="AI153" s="983"/>
      <c r="AJ153" s="968"/>
      <c r="AL153" s="937"/>
    </row>
    <row r="154" spans="2:38" s="930" customFormat="1" ht="20.25" customHeight="1" x14ac:dyDescent="0.2">
      <c r="B154" s="936"/>
      <c r="C154" s="936"/>
      <c r="D154" s="936"/>
      <c r="E154" s="936"/>
      <c r="AH154" s="983"/>
      <c r="AI154" s="983"/>
      <c r="AJ154" s="968"/>
      <c r="AL154" s="937"/>
    </row>
    <row r="155" spans="2:38" s="930" customFormat="1" ht="20.25" customHeight="1" x14ac:dyDescent="0.2">
      <c r="B155" s="936"/>
      <c r="C155" s="936"/>
      <c r="D155" s="936"/>
      <c r="E155" s="936"/>
      <c r="AH155" s="983"/>
      <c r="AI155" s="983"/>
      <c r="AJ155" s="968"/>
      <c r="AL155" s="937"/>
    </row>
    <row r="156" spans="2:38" s="930" customFormat="1" ht="20.25" customHeight="1" x14ac:dyDescent="0.2">
      <c r="B156" s="936"/>
      <c r="C156" s="936"/>
      <c r="D156" s="936"/>
      <c r="E156" s="936"/>
      <c r="AH156" s="983"/>
      <c r="AI156" s="983"/>
      <c r="AJ156" s="968"/>
      <c r="AL156" s="937"/>
    </row>
    <row r="157" spans="2:38" s="930" customFormat="1" ht="20.25" customHeight="1" x14ac:dyDescent="0.2">
      <c r="B157" s="936"/>
      <c r="C157" s="936"/>
      <c r="D157" s="936"/>
      <c r="E157" s="936"/>
      <c r="AH157" s="983"/>
      <c r="AI157" s="983"/>
      <c r="AJ157" s="968"/>
      <c r="AL157" s="937"/>
    </row>
    <row r="158" spans="2:38" s="930" customFormat="1" ht="20.25" customHeight="1" x14ac:dyDescent="0.2">
      <c r="B158" s="936"/>
      <c r="C158" s="936"/>
      <c r="D158" s="936"/>
      <c r="E158" s="936"/>
      <c r="AH158" s="983"/>
      <c r="AI158" s="983"/>
      <c r="AJ158" s="968"/>
      <c r="AL158" s="937"/>
    </row>
    <row r="159" spans="2:38" s="930" customFormat="1" ht="20.25" customHeight="1" x14ac:dyDescent="0.2">
      <c r="B159" s="936"/>
      <c r="C159" s="936"/>
      <c r="D159" s="936"/>
      <c r="E159" s="936"/>
      <c r="AH159" s="983"/>
      <c r="AI159" s="983"/>
      <c r="AJ159" s="968"/>
      <c r="AL159" s="937"/>
    </row>
    <row r="160" spans="2:38" s="930" customFormat="1" ht="20.25" customHeight="1" x14ac:dyDescent="0.2">
      <c r="B160" s="936"/>
      <c r="C160" s="936"/>
      <c r="D160" s="936"/>
      <c r="E160" s="936"/>
      <c r="AH160" s="983"/>
      <c r="AI160" s="983"/>
      <c r="AJ160" s="968"/>
      <c r="AL160" s="937"/>
    </row>
    <row r="161" spans="2:38" s="930" customFormat="1" ht="20.25" customHeight="1" x14ac:dyDescent="0.2">
      <c r="B161" s="936"/>
      <c r="C161" s="936"/>
      <c r="D161" s="936"/>
      <c r="E161" s="936"/>
      <c r="AH161" s="983"/>
      <c r="AI161" s="983"/>
      <c r="AJ161" s="968"/>
      <c r="AL161" s="937"/>
    </row>
    <row r="162" spans="2:38" s="930" customFormat="1" ht="20.25" customHeight="1" x14ac:dyDescent="0.2">
      <c r="B162" s="936"/>
      <c r="C162" s="936"/>
      <c r="D162" s="936"/>
      <c r="E162" s="936"/>
      <c r="AH162" s="983"/>
      <c r="AI162" s="983"/>
      <c r="AJ162" s="968"/>
      <c r="AL162" s="937"/>
    </row>
    <row r="163" spans="2:38" s="930" customFormat="1" ht="20.25" customHeight="1" x14ac:dyDescent="0.2">
      <c r="B163" s="936"/>
      <c r="C163" s="936"/>
      <c r="D163" s="936"/>
      <c r="E163" s="936"/>
      <c r="AH163" s="983"/>
      <c r="AI163" s="983"/>
      <c r="AJ163" s="968"/>
      <c r="AL163" s="937"/>
    </row>
    <row r="164" spans="2:38" s="930" customFormat="1" ht="20.25" customHeight="1" x14ac:dyDescent="0.2">
      <c r="B164" s="936"/>
      <c r="C164" s="936"/>
      <c r="D164" s="936"/>
      <c r="E164" s="936"/>
      <c r="AH164" s="983"/>
      <c r="AI164" s="983"/>
      <c r="AJ164" s="968"/>
      <c r="AL164" s="937"/>
    </row>
    <row r="165" spans="2:38" s="930" customFormat="1" ht="20.25" customHeight="1" x14ac:dyDescent="0.2">
      <c r="B165" s="936"/>
      <c r="C165" s="936"/>
      <c r="D165" s="936"/>
      <c r="E165" s="936"/>
      <c r="AH165" s="983"/>
      <c r="AI165" s="983"/>
      <c r="AJ165" s="968"/>
      <c r="AL165" s="937"/>
    </row>
    <row r="166" spans="2:38" s="930" customFormat="1" ht="20.25" customHeight="1" x14ac:dyDescent="0.2">
      <c r="B166" s="936"/>
      <c r="C166" s="936"/>
      <c r="D166" s="936"/>
      <c r="E166" s="936"/>
      <c r="AH166" s="983"/>
      <c r="AI166" s="983"/>
      <c r="AJ166" s="968"/>
      <c r="AL166" s="937"/>
    </row>
    <row r="167" spans="2:38" s="930" customFormat="1" ht="20.25" customHeight="1" x14ac:dyDescent="0.2">
      <c r="B167" s="936"/>
      <c r="C167" s="936"/>
      <c r="D167" s="936"/>
      <c r="E167" s="936"/>
      <c r="AH167" s="983"/>
      <c r="AI167" s="983"/>
      <c r="AJ167" s="968"/>
      <c r="AL167" s="937"/>
    </row>
    <row r="168" spans="2:38" s="930" customFormat="1" ht="20.25" customHeight="1" x14ac:dyDescent="0.2">
      <c r="B168" s="936"/>
      <c r="C168" s="936"/>
      <c r="D168" s="936"/>
      <c r="E168" s="936"/>
      <c r="AH168" s="983"/>
      <c r="AI168" s="983"/>
      <c r="AJ168" s="968"/>
      <c r="AL168" s="937"/>
    </row>
    <row r="169" spans="2:38" s="930" customFormat="1" ht="20.25" customHeight="1" x14ac:dyDescent="0.2">
      <c r="B169" s="936"/>
      <c r="C169" s="936"/>
      <c r="D169" s="936"/>
      <c r="E169" s="936"/>
      <c r="AH169" s="983"/>
      <c r="AI169" s="983"/>
      <c r="AJ169" s="968"/>
      <c r="AL169" s="937"/>
    </row>
    <row r="170" spans="2:38" s="930" customFormat="1" ht="20.25" customHeight="1" x14ac:dyDescent="0.2">
      <c r="B170" s="936"/>
      <c r="C170" s="936"/>
      <c r="D170" s="936"/>
      <c r="E170" s="936"/>
      <c r="AH170" s="983"/>
      <c r="AI170" s="983"/>
      <c r="AJ170" s="968"/>
      <c r="AL170" s="937"/>
    </row>
    <row r="171" spans="2:38" s="930" customFormat="1" ht="20.25" customHeight="1" x14ac:dyDescent="0.2">
      <c r="B171" s="936"/>
      <c r="C171" s="936"/>
      <c r="D171" s="936"/>
      <c r="E171" s="936"/>
      <c r="AH171" s="983"/>
      <c r="AI171" s="983"/>
      <c r="AJ171" s="968"/>
      <c r="AL171" s="937"/>
    </row>
    <row r="172" spans="2:38" s="930" customFormat="1" ht="20.25" customHeight="1" x14ac:dyDescent="0.2">
      <c r="B172" s="936"/>
      <c r="C172" s="936"/>
      <c r="D172" s="936"/>
      <c r="E172" s="936"/>
      <c r="AH172" s="983"/>
      <c r="AI172" s="983"/>
      <c r="AJ172" s="968"/>
      <c r="AL172" s="937"/>
    </row>
    <row r="173" spans="2:38" s="930" customFormat="1" ht="20.25" customHeight="1" x14ac:dyDescent="0.2">
      <c r="B173" s="936"/>
      <c r="C173" s="936"/>
      <c r="D173" s="936"/>
      <c r="E173" s="936"/>
      <c r="AH173" s="983"/>
      <c r="AI173" s="983"/>
      <c r="AJ173" s="968"/>
      <c r="AL173" s="937"/>
    </row>
    <row r="174" spans="2:38" s="930" customFormat="1" ht="20.25" customHeight="1" x14ac:dyDescent="0.2">
      <c r="B174" s="936"/>
      <c r="C174" s="936"/>
      <c r="D174" s="936"/>
      <c r="E174" s="936"/>
      <c r="AH174" s="983"/>
      <c r="AI174" s="983"/>
      <c r="AJ174" s="968"/>
      <c r="AL174" s="937"/>
    </row>
    <row r="175" spans="2:38" s="930" customFormat="1" ht="20.25" customHeight="1" x14ac:dyDescent="0.2">
      <c r="B175" s="936"/>
      <c r="C175" s="936"/>
      <c r="D175" s="936"/>
      <c r="E175" s="936"/>
      <c r="AH175" s="983"/>
      <c r="AI175" s="983"/>
      <c r="AJ175" s="968"/>
      <c r="AL175" s="937"/>
    </row>
    <row r="176" spans="2:38" s="930" customFormat="1" ht="20.25" customHeight="1" x14ac:dyDescent="0.2">
      <c r="B176" s="936"/>
      <c r="C176" s="936"/>
      <c r="D176" s="936"/>
      <c r="E176" s="936"/>
      <c r="AH176" s="983"/>
      <c r="AI176" s="983"/>
      <c r="AJ176" s="968"/>
      <c r="AL176" s="937"/>
    </row>
    <row r="177" spans="2:38" s="930" customFormat="1" ht="20.25" customHeight="1" x14ac:dyDescent="0.2">
      <c r="B177" s="936"/>
      <c r="C177" s="936"/>
      <c r="D177" s="936"/>
      <c r="E177" s="936"/>
      <c r="AH177" s="983"/>
      <c r="AI177" s="983"/>
      <c r="AJ177" s="968"/>
      <c r="AL177" s="937"/>
    </row>
    <row r="178" spans="2:38" s="930" customFormat="1" ht="20.25" customHeight="1" x14ac:dyDescent="0.2">
      <c r="B178" s="936"/>
      <c r="C178" s="936"/>
      <c r="D178" s="936"/>
      <c r="E178" s="936"/>
      <c r="AH178" s="983"/>
      <c r="AI178" s="983"/>
      <c r="AJ178" s="968"/>
      <c r="AL178" s="937"/>
    </row>
    <row r="179" spans="2:38" s="930" customFormat="1" ht="20.25" customHeight="1" x14ac:dyDescent="0.2">
      <c r="B179" s="936"/>
      <c r="C179" s="936"/>
      <c r="D179" s="936"/>
      <c r="E179" s="936"/>
      <c r="AH179" s="983"/>
      <c r="AI179" s="983"/>
      <c r="AJ179" s="968"/>
      <c r="AL179" s="937"/>
    </row>
    <row r="180" spans="2:38" s="930" customFormat="1" ht="20.25" customHeight="1" x14ac:dyDescent="0.2">
      <c r="B180" s="936"/>
      <c r="C180" s="936"/>
      <c r="D180" s="936"/>
      <c r="E180" s="936"/>
      <c r="AH180" s="983"/>
      <c r="AI180" s="983"/>
      <c r="AJ180" s="968"/>
      <c r="AL180" s="937"/>
    </row>
    <row r="181" spans="2:38" s="930" customFormat="1" ht="20.25" customHeight="1" x14ac:dyDescent="0.2">
      <c r="B181" s="936"/>
      <c r="C181" s="936"/>
      <c r="D181" s="936"/>
      <c r="E181" s="936"/>
      <c r="AH181" s="983"/>
      <c r="AI181" s="983"/>
      <c r="AJ181" s="968"/>
      <c r="AL181" s="937"/>
    </row>
    <row r="182" spans="2:38" s="930" customFormat="1" ht="20.25" customHeight="1" x14ac:dyDescent="0.2">
      <c r="B182" s="936"/>
      <c r="C182" s="936"/>
      <c r="D182" s="936"/>
      <c r="E182" s="936"/>
      <c r="AH182" s="983"/>
      <c r="AI182" s="983"/>
      <c r="AJ182" s="968"/>
      <c r="AL182" s="937"/>
    </row>
    <row r="183" spans="2:38" s="930" customFormat="1" ht="20.25" customHeight="1" x14ac:dyDescent="0.2">
      <c r="B183" s="936"/>
      <c r="C183" s="936"/>
      <c r="D183" s="936"/>
      <c r="E183" s="936"/>
      <c r="AH183" s="983"/>
      <c r="AI183" s="983"/>
      <c r="AJ183" s="968"/>
      <c r="AL183" s="937"/>
    </row>
    <row r="184" spans="2:38" s="930" customFormat="1" ht="20.25" customHeight="1" x14ac:dyDescent="0.2">
      <c r="B184" s="936"/>
      <c r="C184" s="936"/>
      <c r="D184" s="936"/>
      <c r="E184" s="936"/>
      <c r="AH184" s="983"/>
      <c r="AI184" s="983"/>
      <c r="AJ184" s="968"/>
      <c r="AL184" s="937"/>
    </row>
    <row r="185" spans="2:38" s="930" customFormat="1" ht="20.25" customHeight="1" x14ac:dyDescent="0.2">
      <c r="B185" s="936"/>
      <c r="C185" s="936"/>
      <c r="D185" s="936"/>
      <c r="E185" s="936"/>
      <c r="AH185" s="983"/>
      <c r="AI185" s="983"/>
      <c r="AJ185" s="968"/>
      <c r="AL185" s="937"/>
    </row>
    <row r="186" spans="2:38" s="930" customFormat="1" ht="20.25" customHeight="1" x14ac:dyDescent="0.2">
      <c r="B186" s="936"/>
      <c r="C186" s="936"/>
      <c r="D186" s="936"/>
      <c r="E186" s="936"/>
      <c r="AH186" s="983"/>
      <c r="AI186" s="983"/>
      <c r="AJ186" s="968"/>
      <c r="AL186" s="937"/>
    </row>
    <row r="187" spans="2:38" s="930" customFormat="1" ht="20.25" customHeight="1" x14ac:dyDescent="0.2">
      <c r="B187" s="936"/>
      <c r="C187" s="936"/>
      <c r="D187" s="936"/>
      <c r="E187" s="936"/>
      <c r="AH187" s="983"/>
      <c r="AI187" s="983"/>
      <c r="AJ187" s="968"/>
      <c r="AL187" s="937"/>
    </row>
    <row r="188" spans="2:38" s="930" customFormat="1" ht="20.25" customHeight="1" x14ac:dyDescent="0.2">
      <c r="B188" s="936"/>
      <c r="C188" s="936"/>
      <c r="D188" s="936"/>
      <c r="E188" s="936"/>
      <c r="AH188" s="983"/>
      <c r="AI188" s="983"/>
      <c r="AJ188" s="968"/>
      <c r="AL188" s="937"/>
    </row>
    <row r="189" spans="2:38" s="930" customFormat="1" ht="20.25" customHeight="1" x14ac:dyDescent="0.2">
      <c r="B189" s="936"/>
      <c r="C189" s="936"/>
      <c r="D189" s="936"/>
      <c r="E189" s="936"/>
      <c r="AH189" s="983"/>
      <c r="AI189" s="983"/>
      <c r="AJ189" s="968"/>
      <c r="AL189" s="937"/>
    </row>
    <row r="190" spans="2:38" s="930" customFormat="1" ht="20.25" customHeight="1" x14ac:dyDescent="0.2">
      <c r="B190" s="936"/>
      <c r="C190" s="936"/>
      <c r="D190" s="936"/>
      <c r="E190" s="936"/>
      <c r="AH190" s="983"/>
      <c r="AI190" s="983"/>
      <c r="AJ190" s="968"/>
      <c r="AL190" s="937"/>
    </row>
    <row r="191" spans="2:38" s="930" customFormat="1" ht="20.25" customHeight="1" x14ac:dyDescent="0.2">
      <c r="B191" s="936"/>
      <c r="C191" s="936"/>
      <c r="D191" s="936"/>
      <c r="E191" s="936"/>
      <c r="AH191" s="983"/>
      <c r="AI191" s="983"/>
      <c r="AJ191" s="968"/>
      <c r="AL191" s="937"/>
    </row>
    <row r="192" spans="2:38" s="930" customFormat="1" ht="20.25" customHeight="1" x14ac:dyDescent="0.2">
      <c r="B192" s="936"/>
      <c r="C192" s="936"/>
      <c r="D192" s="936"/>
      <c r="E192" s="936"/>
      <c r="AH192" s="983"/>
      <c r="AI192" s="983"/>
      <c r="AJ192" s="968"/>
      <c r="AL192" s="937"/>
    </row>
    <row r="193" spans="2:38" s="930" customFormat="1" ht="20.25" customHeight="1" x14ac:dyDescent="0.2">
      <c r="B193" s="936"/>
      <c r="C193" s="936"/>
      <c r="D193" s="936"/>
      <c r="E193" s="936"/>
      <c r="AH193" s="983"/>
      <c r="AI193" s="983"/>
      <c r="AJ193" s="968"/>
      <c r="AL193" s="937"/>
    </row>
    <row r="194" spans="2:38" s="930" customFormat="1" ht="20.25" customHeight="1" x14ac:dyDescent="0.2">
      <c r="B194" s="936"/>
      <c r="C194" s="936"/>
      <c r="D194" s="936"/>
      <c r="E194" s="936"/>
      <c r="AH194" s="983"/>
      <c r="AI194" s="983"/>
      <c r="AJ194" s="968"/>
      <c r="AL194" s="937"/>
    </row>
    <row r="195" spans="2:38" s="930" customFormat="1" ht="20.25" customHeight="1" x14ac:dyDescent="0.2">
      <c r="B195" s="936"/>
      <c r="C195" s="936"/>
      <c r="D195" s="936"/>
      <c r="E195" s="936"/>
      <c r="AH195" s="983"/>
      <c r="AI195" s="983"/>
      <c r="AJ195" s="968"/>
      <c r="AL195" s="937"/>
    </row>
    <row r="196" spans="2:38" s="930" customFormat="1" ht="20.25" customHeight="1" x14ac:dyDescent="0.2">
      <c r="B196" s="936"/>
      <c r="C196" s="936"/>
      <c r="D196" s="936"/>
      <c r="E196" s="936"/>
      <c r="AH196" s="983"/>
      <c r="AI196" s="983"/>
      <c r="AJ196" s="968"/>
      <c r="AL196" s="937"/>
    </row>
    <row r="197" spans="2:38" s="930" customFormat="1" ht="20.25" customHeight="1" x14ac:dyDescent="0.2">
      <c r="B197" s="936"/>
      <c r="C197" s="936"/>
      <c r="D197" s="936"/>
      <c r="E197" s="936"/>
      <c r="AH197" s="983"/>
      <c r="AI197" s="983"/>
      <c r="AJ197" s="968"/>
      <c r="AL197" s="937"/>
    </row>
    <row r="198" spans="2:38" s="930" customFormat="1" ht="20.25" customHeight="1" x14ac:dyDescent="0.2">
      <c r="B198" s="936"/>
      <c r="C198" s="936"/>
      <c r="D198" s="936"/>
      <c r="E198" s="936"/>
      <c r="AH198" s="983"/>
      <c r="AI198" s="983"/>
      <c r="AJ198" s="968"/>
      <c r="AL198" s="937"/>
    </row>
    <row r="199" spans="2:38" s="930" customFormat="1" ht="20.25" customHeight="1" x14ac:dyDescent="0.2">
      <c r="B199" s="936"/>
      <c r="C199" s="936"/>
      <c r="D199" s="936"/>
      <c r="E199" s="936"/>
      <c r="AH199" s="983"/>
      <c r="AI199" s="983"/>
      <c r="AJ199" s="968"/>
      <c r="AL199" s="937"/>
    </row>
    <row r="200" spans="2:38" s="930" customFormat="1" ht="20.25" customHeight="1" x14ac:dyDescent="0.2">
      <c r="B200" s="936"/>
      <c r="C200" s="936"/>
      <c r="D200" s="936"/>
      <c r="E200" s="936"/>
      <c r="AH200" s="983"/>
      <c r="AI200" s="983"/>
      <c r="AJ200" s="968"/>
      <c r="AL200" s="937"/>
    </row>
    <row r="201" spans="2:38" s="930" customFormat="1" ht="20.25" customHeight="1" x14ac:dyDescent="0.2">
      <c r="B201" s="936"/>
      <c r="C201" s="936"/>
      <c r="D201" s="936"/>
      <c r="E201" s="936"/>
      <c r="AH201" s="983"/>
      <c r="AI201" s="983"/>
      <c r="AJ201" s="968"/>
      <c r="AL201" s="937"/>
    </row>
    <row r="202" spans="2:38" s="930" customFormat="1" ht="20.25" customHeight="1" x14ac:dyDescent="0.2">
      <c r="B202" s="936"/>
      <c r="C202" s="936"/>
      <c r="D202" s="936"/>
      <c r="E202" s="936"/>
      <c r="AH202" s="983"/>
      <c r="AI202" s="983"/>
      <c r="AJ202" s="968"/>
      <c r="AL202" s="937"/>
    </row>
    <row r="203" spans="2:38" s="930" customFormat="1" ht="20.25" customHeight="1" x14ac:dyDescent="0.2">
      <c r="B203" s="936"/>
      <c r="C203" s="936"/>
      <c r="D203" s="936"/>
      <c r="E203" s="936"/>
      <c r="AH203" s="983"/>
      <c r="AI203" s="983"/>
      <c r="AJ203" s="968"/>
      <c r="AL203" s="937"/>
    </row>
    <row r="204" spans="2:38" s="930" customFormat="1" ht="20.25" customHeight="1" x14ac:dyDescent="0.2">
      <c r="B204" s="936"/>
      <c r="C204" s="936"/>
      <c r="D204" s="936"/>
      <c r="E204" s="936"/>
      <c r="AH204" s="983"/>
      <c r="AI204" s="983"/>
      <c r="AJ204" s="968"/>
      <c r="AL204" s="937"/>
    </row>
    <row r="205" spans="2:38" s="930" customFormat="1" ht="20.25" customHeight="1" x14ac:dyDescent="0.2">
      <c r="B205" s="936"/>
      <c r="C205" s="936"/>
      <c r="D205" s="936"/>
      <c r="E205" s="936"/>
      <c r="AH205" s="983"/>
      <c r="AI205" s="983"/>
      <c r="AJ205" s="968"/>
      <c r="AL205" s="937"/>
    </row>
    <row r="206" spans="2:38" s="930" customFormat="1" ht="20.25" customHeight="1" x14ac:dyDescent="0.2">
      <c r="B206" s="936"/>
      <c r="C206" s="936"/>
      <c r="D206" s="936"/>
      <c r="E206" s="936"/>
      <c r="AH206" s="983"/>
      <c r="AI206" s="983"/>
      <c r="AJ206" s="968"/>
      <c r="AL206" s="937"/>
    </row>
    <row r="207" spans="2:38" s="930" customFormat="1" ht="20.25" customHeight="1" x14ac:dyDescent="0.2">
      <c r="B207" s="936"/>
      <c r="C207" s="936"/>
      <c r="D207" s="936"/>
      <c r="E207" s="936"/>
      <c r="AH207" s="983"/>
      <c r="AI207" s="983"/>
      <c r="AJ207" s="968"/>
      <c r="AL207" s="937"/>
    </row>
    <row r="208" spans="2:38" s="930" customFormat="1" ht="20.25" customHeight="1" x14ac:dyDescent="0.2">
      <c r="B208" s="936"/>
      <c r="C208" s="936"/>
      <c r="D208" s="936"/>
      <c r="E208" s="936"/>
      <c r="AH208" s="983"/>
      <c r="AI208" s="983"/>
      <c r="AJ208" s="968"/>
      <c r="AL208" s="937"/>
    </row>
    <row r="209" spans="2:38" s="930" customFormat="1" ht="20.25" customHeight="1" x14ac:dyDescent="0.2">
      <c r="B209" s="936"/>
      <c r="C209" s="936"/>
      <c r="D209" s="936"/>
      <c r="E209" s="936"/>
      <c r="AH209" s="983"/>
      <c r="AI209" s="983"/>
      <c r="AJ209" s="968"/>
      <c r="AL209" s="937"/>
    </row>
    <row r="210" spans="2:38" s="930" customFormat="1" ht="20.25" customHeight="1" x14ac:dyDescent="0.2">
      <c r="B210" s="936"/>
      <c r="C210" s="936"/>
      <c r="D210" s="936"/>
      <c r="E210" s="936"/>
      <c r="AH210" s="983"/>
      <c r="AI210" s="983"/>
      <c r="AJ210" s="968"/>
      <c r="AL210" s="937"/>
    </row>
    <row r="211" spans="2:38" s="930" customFormat="1" ht="20.25" customHeight="1" x14ac:dyDescent="0.2">
      <c r="B211" s="936"/>
      <c r="C211" s="936"/>
      <c r="D211" s="936"/>
      <c r="E211" s="936"/>
      <c r="AH211" s="983"/>
      <c r="AI211" s="983"/>
      <c r="AJ211" s="968"/>
      <c r="AL211" s="937"/>
    </row>
    <row r="212" spans="2:38" s="930" customFormat="1" ht="20.25" customHeight="1" x14ac:dyDescent="0.2">
      <c r="B212" s="936"/>
      <c r="C212" s="936"/>
      <c r="D212" s="936"/>
      <c r="E212" s="936"/>
      <c r="AH212" s="983"/>
      <c r="AI212" s="983"/>
      <c r="AJ212" s="968"/>
      <c r="AL212" s="937"/>
    </row>
    <row r="213" spans="2:38" s="930" customFormat="1" ht="20.25" customHeight="1" x14ac:dyDescent="0.2">
      <c r="B213" s="936"/>
      <c r="C213" s="936"/>
      <c r="D213" s="936"/>
      <c r="E213" s="936"/>
      <c r="AH213" s="983"/>
      <c r="AI213" s="983"/>
      <c r="AJ213" s="968"/>
      <c r="AL213" s="937"/>
    </row>
    <row r="214" spans="2:38" s="930" customFormat="1" ht="20.25" customHeight="1" x14ac:dyDescent="0.2">
      <c r="B214" s="936"/>
      <c r="C214" s="936"/>
      <c r="D214" s="936"/>
      <c r="E214" s="936"/>
      <c r="AH214" s="983"/>
      <c r="AI214" s="983"/>
      <c r="AJ214" s="968"/>
      <c r="AL214" s="937"/>
    </row>
    <row r="215" spans="2:38" s="930" customFormat="1" ht="20.25" customHeight="1" x14ac:dyDescent="0.2">
      <c r="B215" s="936"/>
      <c r="C215" s="936"/>
      <c r="D215" s="936"/>
      <c r="E215" s="936"/>
      <c r="AH215" s="983"/>
      <c r="AI215" s="983"/>
      <c r="AJ215" s="968"/>
      <c r="AL215" s="937"/>
    </row>
    <row r="216" spans="2:38" s="930" customFormat="1" ht="20.25" customHeight="1" x14ac:dyDescent="0.2">
      <c r="B216" s="936"/>
      <c r="C216" s="936"/>
      <c r="D216" s="936"/>
      <c r="E216" s="936"/>
      <c r="AH216" s="983"/>
      <c r="AI216" s="983"/>
      <c r="AJ216" s="968"/>
      <c r="AL216" s="937"/>
    </row>
    <row r="217" spans="2:38" s="930" customFormat="1" ht="20.25" customHeight="1" x14ac:dyDescent="0.2">
      <c r="B217" s="936"/>
      <c r="C217" s="936"/>
      <c r="D217" s="936"/>
      <c r="E217" s="936"/>
      <c r="AH217" s="983"/>
      <c r="AI217" s="983"/>
      <c r="AJ217" s="968"/>
      <c r="AL217" s="937"/>
    </row>
    <row r="218" spans="2:38" s="930" customFormat="1" ht="20.25" customHeight="1" x14ac:dyDescent="0.2">
      <c r="B218" s="936"/>
      <c r="C218" s="936"/>
      <c r="D218" s="936"/>
      <c r="E218" s="936"/>
      <c r="AH218" s="983"/>
      <c r="AI218" s="983"/>
      <c r="AJ218" s="968"/>
      <c r="AL218" s="937"/>
    </row>
    <row r="219" spans="2:38" s="930" customFormat="1" ht="20.25" customHeight="1" x14ac:dyDescent="0.2">
      <c r="B219" s="936"/>
      <c r="C219" s="936"/>
      <c r="D219" s="936"/>
      <c r="E219" s="936"/>
      <c r="AH219" s="983"/>
      <c r="AI219" s="983"/>
      <c r="AJ219" s="968"/>
      <c r="AL219" s="937"/>
    </row>
    <row r="220" spans="2:38" s="930" customFormat="1" ht="20.25" customHeight="1" x14ac:dyDescent="0.2">
      <c r="B220" s="936"/>
      <c r="C220" s="936"/>
      <c r="D220" s="936"/>
      <c r="E220" s="936"/>
      <c r="AH220" s="983"/>
      <c r="AI220" s="983"/>
      <c r="AJ220" s="968"/>
      <c r="AL220" s="937"/>
    </row>
    <row r="221" spans="2:38" s="930" customFormat="1" ht="20.25" customHeight="1" x14ac:dyDescent="0.2">
      <c r="B221" s="936"/>
      <c r="C221" s="936"/>
      <c r="D221" s="936"/>
      <c r="E221" s="936"/>
      <c r="AH221" s="983"/>
      <c r="AI221" s="983"/>
      <c r="AJ221" s="968"/>
      <c r="AL221" s="937"/>
    </row>
    <row r="222" spans="2:38" s="930" customFormat="1" ht="20.25" customHeight="1" x14ac:dyDescent="0.2">
      <c r="B222" s="936"/>
      <c r="C222" s="936"/>
      <c r="D222" s="936"/>
      <c r="E222" s="936"/>
      <c r="AH222" s="983"/>
      <c r="AI222" s="983"/>
      <c r="AJ222" s="968"/>
      <c r="AL222" s="937"/>
    </row>
    <row r="223" spans="2:38" s="930" customFormat="1" ht="20.25" customHeight="1" x14ac:dyDescent="0.2">
      <c r="B223" s="936"/>
      <c r="C223" s="936"/>
      <c r="D223" s="936"/>
      <c r="E223" s="936"/>
      <c r="AH223" s="983"/>
      <c r="AI223" s="983"/>
      <c r="AJ223" s="968"/>
      <c r="AL223" s="937"/>
    </row>
    <row r="224" spans="2:38" s="930" customFormat="1" ht="20.25" customHeight="1" x14ac:dyDescent="0.2">
      <c r="B224" s="936"/>
      <c r="C224" s="936"/>
      <c r="D224" s="936"/>
      <c r="E224" s="936"/>
      <c r="AH224" s="983"/>
      <c r="AI224" s="983"/>
      <c r="AJ224" s="968"/>
      <c r="AL224" s="937"/>
    </row>
    <row r="225" spans="2:38" s="930" customFormat="1" ht="20.25" customHeight="1" x14ac:dyDescent="0.2">
      <c r="B225" s="936"/>
      <c r="C225" s="936"/>
      <c r="D225" s="936"/>
      <c r="E225" s="936"/>
      <c r="AH225" s="983"/>
      <c r="AI225" s="983"/>
      <c r="AJ225" s="968"/>
      <c r="AL225" s="937"/>
    </row>
    <row r="226" spans="2:38" s="930" customFormat="1" ht="20.25" customHeight="1" x14ac:dyDescent="0.2">
      <c r="B226" s="936"/>
      <c r="C226" s="936"/>
      <c r="D226" s="936"/>
      <c r="E226" s="936"/>
      <c r="AH226" s="983"/>
      <c r="AI226" s="983"/>
      <c r="AJ226" s="968"/>
      <c r="AL226" s="937"/>
    </row>
    <row r="227" spans="2:38" s="930" customFormat="1" ht="20.25" customHeight="1" x14ac:dyDescent="0.2">
      <c r="B227" s="936"/>
      <c r="C227" s="936"/>
      <c r="D227" s="936"/>
      <c r="E227" s="936"/>
      <c r="AH227" s="983"/>
      <c r="AI227" s="983"/>
      <c r="AJ227" s="968"/>
      <c r="AL227" s="937"/>
    </row>
    <row r="228" spans="2:38" s="930" customFormat="1" ht="20.25" customHeight="1" x14ac:dyDescent="0.2">
      <c r="B228" s="936"/>
      <c r="C228" s="936"/>
      <c r="D228" s="936"/>
      <c r="E228" s="936"/>
      <c r="AH228" s="983"/>
      <c r="AI228" s="983"/>
      <c r="AJ228" s="968"/>
      <c r="AL228" s="937"/>
    </row>
    <row r="229" spans="2:38" s="930" customFormat="1" ht="20.25" customHeight="1" x14ac:dyDescent="0.2">
      <c r="B229" s="936"/>
      <c r="C229" s="936"/>
      <c r="D229" s="936"/>
      <c r="E229" s="936"/>
      <c r="AH229" s="983"/>
      <c r="AI229" s="983"/>
      <c r="AJ229" s="968"/>
      <c r="AL229" s="937"/>
    </row>
    <row r="230" spans="2:38" s="930" customFormat="1" ht="20.25" customHeight="1" x14ac:dyDescent="0.2">
      <c r="B230" s="936"/>
      <c r="C230" s="936"/>
      <c r="D230" s="936"/>
      <c r="E230" s="936"/>
      <c r="AH230" s="983"/>
      <c r="AI230" s="983"/>
      <c r="AJ230" s="968"/>
      <c r="AL230" s="937"/>
    </row>
    <row r="231" spans="2:38" s="930" customFormat="1" ht="20.25" customHeight="1" x14ac:dyDescent="0.2">
      <c r="B231" s="936"/>
      <c r="C231" s="936"/>
      <c r="D231" s="936"/>
      <c r="E231" s="936"/>
      <c r="AH231" s="983"/>
      <c r="AI231" s="983"/>
      <c r="AJ231" s="968"/>
      <c r="AL231" s="937"/>
    </row>
    <row r="232" spans="2:38" s="930" customFormat="1" ht="20.25" customHeight="1" x14ac:dyDescent="0.2">
      <c r="B232" s="936"/>
      <c r="C232" s="936"/>
      <c r="D232" s="936"/>
      <c r="E232" s="936"/>
      <c r="AH232" s="983"/>
      <c r="AI232" s="983"/>
      <c r="AJ232" s="968"/>
      <c r="AL232" s="937"/>
    </row>
    <row r="233" spans="2:38" s="930" customFormat="1" ht="20.25" customHeight="1" x14ac:dyDescent="0.2">
      <c r="B233" s="936"/>
      <c r="C233" s="936"/>
      <c r="D233" s="936"/>
      <c r="E233" s="936"/>
      <c r="AH233" s="983"/>
      <c r="AI233" s="983"/>
      <c r="AJ233" s="968"/>
      <c r="AL233" s="937"/>
    </row>
    <row r="234" spans="2:38" s="930" customFormat="1" ht="20.25" customHeight="1" x14ac:dyDescent="0.2">
      <c r="B234" s="936"/>
      <c r="C234" s="936"/>
      <c r="D234" s="936"/>
      <c r="E234" s="936"/>
      <c r="AH234" s="983"/>
      <c r="AI234" s="983"/>
      <c r="AJ234" s="968"/>
      <c r="AL234" s="937"/>
    </row>
    <row r="235" spans="2:38" s="930" customFormat="1" ht="20.25" customHeight="1" x14ac:dyDescent="0.2">
      <c r="B235" s="936"/>
      <c r="C235" s="936"/>
      <c r="D235" s="936"/>
      <c r="E235" s="936"/>
      <c r="AH235" s="983"/>
      <c r="AI235" s="983"/>
      <c r="AJ235" s="968"/>
      <c r="AL235" s="937"/>
    </row>
    <row r="236" spans="2:38" s="930" customFormat="1" ht="20.25" customHeight="1" x14ac:dyDescent="0.2">
      <c r="B236" s="936"/>
      <c r="C236" s="936"/>
      <c r="D236" s="936"/>
      <c r="E236" s="936"/>
      <c r="AH236" s="983"/>
      <c r="AI236" s="983"/>
      <c r="AJ236" s="968"/>
      <c r="AL236" s="937"/>
    </row>
    <row r="237" spans="2:38" s="930" customFormat="1" ht="20.25" customHeight="1" x14ac:dyDescent="0.2">
      <c r="B237" s="936"/>
      <c r="C237" s="936"/>
      <c r="D237" s="936"/>
      <c r="E237" s="936"/>
      <c r="AH237" s="983"/>
      <c r="AI237" s="983"/>
      <c r="AJ237" s="968"/>
      <c r="AL237" s="937"/>
    </row>
    <row r="238" spans="2:38" s="930" customFormat="1" ht="20.25" customHeight="1" x14ac:dyDescent="0.2">
      <c r="B238" s="936"/>
      <c r="C238" s="936"/>
      <c r="D238" s="936"/>
      <c r="E238" s="936"/>
      <c r="AH238" s="983"/>
      <c r="AI238" s="983"/>
      <c r="AJ238" s="968"/>
      <c r="AL238" s="937"/>
    </row>
    <row r="239" spans="2:38" s="930" customFormat="1" ht="20.25" customHeight="1" x14ac:dyDescent="0.2">
      <c r="B239" s="936"/>
      <c r="C239" s="936"/>
      <c r="D239" s="936"/>
      <c r="E239" s="936"/>
      <c r="AH239" s="983"/>
      <c r="AI239" s="983"/>
      <c r="AJ239" s="968"/>
      <c r="AL239" s="937"/>
    </row>
    <row r="240" spans="2:38" s="930" customFormat="1" ht="20.25" customHeight="1" x14ac:dyDescent="0.2">
      <c r="B240" s="936"/>
      <c r="C240" s="936"/>
      <c r="D240" s="936"/>
      <c r="E240" s="936"/>
      <c r="AH240" s="983"/>
      <c r="AI240" s="983"/>
      <c r="AJ240" s="968"/>
      <c r="AL240" s="937"/>
    </row>
    <row r="241" spans="2:38" s="930" customFormat="1" ht="20.25" customHeight="1" x14ac:dyDescent="0.2">
      <c r="B241" s="936"/>
      <c r="C241" s="936"/>
      <c r="D241" s="936"/>
      <c r="E241" s="936"/>
      <c r="AH241" s="983"/>
      <c r="AI241" s="983"/>
      <c r="AJ241" s="968"/>
      <c r="AL241" s="937"/>
    </row>
    <row r="242" spans="2:38" s="930" customFormat="1" ht="20.25" customHeight="1" x14ac:dyDescent="0.2">
      <c r="B242" s="936"/>
      <c r="C242" s="936"/>
      <c r="D242" s="936"/>
      <c r="E242" s="936"/>
      <c r="AH242" s="983"/>
      <c r="AI242" s="983"/>
      <c r="AJ242" s="968"/>
      <c r="AL242" s="937"/>
    </row>
    <row r="243" spans="2:38" s="930" customFormat="1" ht="20.25" customHeight="1" x14ac:dyDescent="0.2">
      <c r="B243" s="936"/>
      <c r="C243" s="936"/>
      <c r="D243" s="936"/>
      <c r="E243" s="936"/>
      <c r="AH243" s="983"/>
      <c r="AI243" s="983"/>
      <c r="AJ243" s="968"/>
      <c r="AL243" s="937"/>
    </row>
    <row r="244" spans="2:38" s="930" customFormat="1" ht="20.25" customHeight="1" x14ac:dyDescent="0.2">
      <c r="B244" s="936"/>
      <c r="C244" s="936"/>
      <c r="D244" s="936"/>
      <c r="E244" s="936"/>
      <c r="AH244" s="983"/>
      <c r="AI244" s="983"/>
      <c r="AJ244" s="968"/>
      <c r="AL244" s="937"/>
    </row>
    <row r="245" spans="2:38" s="930" customFormat="1" ht="20.25" customHeight="1" x14ac:dyDescent="0.2">
      <c r="B245" s="936"/>
      <c r="C245" s="936"/>
      <c r="D245" s="936"/>
      <c r="E245" s="936"/>
      <c r="AH245" s="983"/>
      <c r="AI245" s="983"/>
      <c r="AJ245" s="968"/>
      <c r="AL245" s="937"/>
    </row>
    <row r="246" spans="2:38" s="930" customFormat="1" ht="20.25" customHeight="1" x14ac:dyDescent="0.2">
      <c r="B246" s="936"/>
      <c r="C246" s="936"/>
      <c r="D246" s="936"/>
      <c r="E246" s="936"/>
      <c r="AH246" s="983"/>
      <c r="AI246" s="983"/>
      <c r="AJ246" s="968"/>
      <c r="AL246" s="937"/>
    </row>
    <row r="247" spans="2:38" s="930" customFormat="1" ht="20.25" customHeight="1" x14ac:dyDescent="0.2">
      <c r="B247" s="936"/>
      <c r="C247" s="936"/>
      <c r="D247" s="936"/>
      <c r="E247" s="936"/>
      <c r="AH247" s="983"/>
      <c r="AI247" s="983"/>
      <c r="AJ247" s="968"/>
      <c r="AL247" s="937"/>
    </row>
    <row r="248" spans="2:38" s="930" customFormat="1" ht="20.25" customHeight="1" x14ac:dyDescent="0.2">
      <c r="B248" s="936"/>
      <c r="C248" s="936"/>
      <c r="D248" s="936"/>
      <c r="E248" s="936"/>
      <c r="AH248" s="983"/>
      <c r="AI248" s="983"/>
      <c r="AJ248" s="968"/>
      <c r="AL248" s="937"/>
    </row>
    <row r="249" spans="2:38" s="930" customFormat="1" ht="20.25" customHeight="1" x14ac:dyDescent="0.2">
      <c r="B249" s="936"/>
      <c r="C249" s="936"/>
      <c r="D249" s="936"/>
      <c r="E249" s="936"/>
      <c r="AH249" s="983"/>
      <c r="AI249" s="983"/>
      <c r="AJ249" s="968"/>
      <c r="AL249" s="937"/>
    </row>
    <row r="250" spans="2:38" s="930" customFormat="1" ht="20.25" customHeight="1" x14ac:dyDescent="0.2">
      <c r="B250" s="936"/>
      <c r="C250" s="936"/>
      <c r="D250" s="936"/>
      <c r="E250" s="936"/>
      <c r="AH250" s="983"/>
      <c r="AI250" s="983"/>
      <c r="AJ250" s="968"/>
      <c r="AL250" s="937"/>
    </row>
    <row r="251" spans="2:38" s="930" customFormat="1" ht="20.25" customHeight="1" x14ac:dyDescent="0.2">
      <c r="B251" s="936"/>
      <c r="C251" s="936"/>
      <c r="D251" s="936"/>
      <c r="E251" s="936"/>
      <c r="AH251" s="983"/>
      <c r="AI251" s="983"/>
      <c r="AJ251" s="968"/>
      <c r="AL251" s="937"/>
    </row>
    <row r="252" spans="2:38" s="930" customFormat="1" ht="20.25" customHeight="1" x14ac:dyDescent="0.2">
      <c r="B252" s="936"/>
      <c r="C252" s="936"/>
      <c r="D252" s="936"/>
      <c r="E252" s="936"/>
      <c r="AH252" s="983"/>
      <c r="AI252" s="983"/>
      <c r="AJ252" s="968"/>
      <c r="AL252" s="937"/>
    </row>
    <row r="253" spans="2:38" s="930" customFormat="1" ht="20.25" customHeight="1" x14ac:dyDescent="0.2">
      <c r="B253" s="936"/>
      <c r="C253" s="936"/>
      <c r="D253" s="936"/>
      <c r="E253" s="936"/>
      <c r="AH253" s="983"/>
      <c r="AI253" s="983"/>
      <c r="AJ253" s="968"/>
      <c r="AL253" s="937"/>
    </row>
    <row r="254" spans="2:38" s="930" customFormat="1" ht="20.25" customHeight="1" x14ac:dyDescent="0.2">
      <c r="B254" s="936"/>
      <c r="C254" s="936"/>
      <c r="D254" s="936"/>
      <c r="E254" s="936"/>
      <c r="AH254" s="983"/>
      <c r="AI254" s="983"/>
      <c r="AJ254" s="968"/>
      <c r="AL254" s="937"/>
    </row>
    <row r="255" spans="2:38" s="930" customFormat="1" ht="20.25" customHeight="1" x14ac:dyDescent="0.2">
      <c r="B255" s="936"/>
      <c r="C255" s="936"/>
      <c r="D255" s="936"/>
      <c r="E255" s="936"/>
      <c r="AH255" s="983"/>
      <c r="AI255" s="983"/>
      <c r="AJ255" s="968"/>
      <c r="AL255" s="937"/>
    </row>
    <row r="256" spans="2:38" s="930" customFormat="1" ht="20.25" customHeight="1" x14ac:dyDescent="0.2">
      <c r="B256" s="936"/>
      <c r="C256" s="936"/>
      <c r="D256" s="936"/>
      <c r="E256" s="936"/>
      <c r="AH256" s="983"/>
      <c r="AI256" s="983"/>
      <c r="AJ256" s="968"/>
      <c r="AL256" s="937"/>
    </row>
    <row r="257" spans="2:38" s="930" customFormat="1" ht="20.25" customHeight="1" x14ac:dyDescent="0.2">
      <c r="B257" s="936"/>
      <c r="C257" s="936"/>
      <c r="D257" s="936"/>
      <c r="E257" s="936"/>
      <c r="AH257" s="983"/>
      <c r="AI257" s="983"/>
      <c r="AJ257" s="968"/>
      <c r="AL257" s="937"/>
    </row>
    <row r="258" spans="2:38" s="930" customFormat="1" ht="20.25" customHeight="1" x14ac:dyDescent="0.2">
      <c r="B258" s="936"/>
      <c r="C258" s="936"/>
      <c r="D258" s="936"/>
      <c r="E258" s="936"/>
      <c r="AH258" s="983"/>
      <c r="AI258" s="983"/>
      <c r="AJ258" s="968"/>
      <c r="AL258" s="937"/>
    </row>
    <row r="259" spans="2:38" s="930" customFormat="1" ht="20.25" customHeight="1" x14ac:dyDescent="0.2">
      <c r="B259" s="936"/>
      <c r="C259" s="936"/>
      <c r="D259" s="936"/>
      <c r="E259" s="936"/>
      <c r="AH259" s="983"/>
      <c r="AI259" s="983"/>
      <c r="AJ259" s="968"/>
      <c r="AL259" s="937"/>
    </row>
    <row r="260" spans="2:38" s="930" customFormat="1" ht="20.25" customHeight="1" x14ac:dyDescent="0.2">
      <c r="B260" s="936"/>
      <c r="C260" s="936"/>
      <c r="D260" s="936"/>
      <c r="E260" s="936"/>
      <c r="AH260" s="983"/>
      <c r="AI260" s="983"/>
      <c r="AJ260" s="968"/>
      <c r="AL260" s="937"/>
    </row>
    <row r="261" spans="2:38" s="930" customFormat="1" ht="20.25" customHeight="1" x14ac:dyDescent="0.2">
      <c r="B261" s="936"/>
      <c r="C261" s="936"/>
      <c r="D261" s="936"/>
      <c r="E261" s="936"/>
      <c r="AH261" s="983"/>
      <c r="AI261" s="983"/>
      <c r="AJ261" s="968"/>
      <c r="AL261" s="937"/>
    </row>
    <row r="262" spans="2:38" s="930" customFormat="1" ht="20.25" customHeight="1" x14ac:dyDescent="0.2">
      <c r="B262" s="936"/>
      <c r="C262" s="936"/>
      <c r="D262" s="936"/>
      <c r="E262" s="936"/>
      <c r="AH262" s="983"/>
      <c r="AI262" s="983"/>
      <c r="AJ262" s="968"/>
      <c r="AL262" s="937"/>
    </row>
    <row r="263" spans="2:38" s="930" customFormat="1" ht="20.25" customHeight="1" x14ac:dyDescent="0.2">
      <c r="B263" s="936"/>
      <c r="C263" s="936"/>
      <c r="D263" s="936"/>
      <c r="E263" s="936"/>
      <c r="AH263" s="983"/>
      <c r="AI263" s="983"/>
      <c r="AJ263" s="968"/>
      <c r="AL263" s="937"/>
    </row>
    <row r="264" spans="2:38" s="930" customFormat="1" ht="20.25" customHeight="1" x14ac:dyDescent="0.2">
      <c r="B264" s="936"/>
      <c r="C264" s="936"/>
      <c r="D264" s="936"/>
      <c r="E264" s="936"/>
      <c r="AH264" s="983"/>
      <c r="AI264" s="983"/>
      <c r="AJ264" s="968"/>
      <c r="AL264" s="937"/>
    </row>
    <row r="265" spans="2:38" s="930" customFormat="1" ht="20.25" customHeight="1" x14ac:dyDescent="0.2">
      <c r="B265" s="936"/>
      <c r="C265" s="936"/>
      <c r="D265" s="936"/>
      <c r="E265" s="936"/>
      <c r="AH265" s="983"/>
      <c r="AI265" s="983"/>
      <c r="AJ265" s="968"/>
      <c r="AL265" s="937"/>
    </row>
    <row r="266" spans="2:38" s="930" customFormat="1" ht="20.25" customHeight="1" x14ac:dyDescent="0.2">
      <c r="B266" s="936"/>
      <c r="C266" s="936"/>
      <c r="D266" s="936"/>
      <c r="E266" s="936"/>
      <c r="AH266" s="983"/>
      <c r="AI266" s="983"/>
      <c r="AJ266" s="968"/>
      <c r="AL266" s="937"/>
    </row>
    <row r="267" spans="2:38" s="930" customFormat="1" ht="20.25" customHeight="1" x14ac:dyDescent="0.2">
      <c r="B267" s="936"/>
      <c r="C267" s="936"/>
      <c r="D267" s="936"/>
      <c r="E267" s="936"/>
      <c r="AH267" s="983"/>
      <c r="AI267" s="983"/>
      <c r="AJ267" s="968"/>
      <c r="AL267" s="937"/>
    </row>
    <row r="268" spans="2:38" s="930" customFormat="1" ht="20.25" customHeight="1" x14ac:dyDescent="0.2">
      <c r="B268" s="936"/>
      <c r="C268" s="936"/>
      <c r="D268" s="936"/>
      <c r="E268" s="936"/>
      <c r="AH268" s="983"/>
      <c r="AI268" s="983"/>
      <c r="AJ268" s="968"/>
      <c r="AL268" s="937"/>
    </row>
    <row r="269" spans="2:38" s="930" customFormat="1" ht="20.25" customHeight="1" x14ac:dyDescent="0.2">
      <c r="B269" s="936"/>
      <c r="C269" s="936"/>
      <c r="D269" s="936"/>
      <c r="E269" s="936"/>
      <c r="AH269" s="983"/>
      <c r="AI269" s="983"/>
      <c r="AJ269" s="968"/>
      <c r="AL269" s="937"/>
    </row>
    <row r="270" spans="2:38" s="930" customFormat="1" ht="20.25" customHeight="1" x14ac:dyDescent="0.2">
      <c r="B270" s="936"/>
      <c r="C270" s="936"/>
      <c r="D270" s="936"/>
      <c r="E270" s="936"/>
      <c r="AH270" s="983"/>
      <c r="AI270" s="983"/>
      <c r="AJ270" s="968"/>
      <c r="AL270" s="937"/>
    </row>
    <row r="271" spans="2:38" s="930" customFormat="1" ht="20.25" customHeight="1" x14ac:dyDescent="0.2">
      <c r="B271" s="936"/>
      <c r="C271" s="936"/>
      <c r="D271" s="936"/>
      <c r="E271" s="936"/>
      <c r="AH271" s="983"/>
      <c r="AI271" s="983"/>
      <c r="AJ271" s="968"/>
      <c r="AL271" s="937"/>
    </row>
    <row r="272" spans="2:38" s="930" customFormat="1" ht="20.25" customHeight="1" x14ac:dyDescent="0.2">
      <c r="B272" s="936"/>
      <c r="C272" s="936"/>
      <c r="D272" s="936"/>
      <c r="E272" s="936"/>
      <c r="AH272" s="983"/>
      <c r="AI272" s="983"/>
      <c r="AJ272" s="968"/>
      <c r="AL272" s="937"/>
    </row>
    <row r="273" spans="2:38" s="930" customFormat="1" ht="20.25" customHeight="1" x14ac:dyDescent="0.2">
      <c r="B273" s="936"/>
      <c r="C273" s="936"/>
      <c r="D273" s="936"/>
      <c r="E273" s="936"/>
      <c r="AH273" s="983"/>
      <c r="AI273" s="983"/>
      <c r="AJ273" s="968"/>
      <c r="AL273" s="937"/>
    </row>
    <row r="274" spans="2:38" s="930" customFormat="1" ht="20.25" customHeight="1" x14ac:dyDescent="0.2">
      <c r="B274" s="936"/>
      <c r="C274" s="936"/>
      <c r="D274" s="936"/>
      <c r="E274" s="936"/>
      <c r="AH274" s="983"/>
      <c r="AI274" s="983"/>
      <c r="AJ274" s="968"/>
      <c r="AL274" s="937"/>
    </row>
    <row r="275" spans="2:38" s="930" customFormat="1" ht="20.25" customHeight="1" x14ac:dyDescent="0.2">
      <c r="B275" s="936"/>
      <c r="C275" s="936"/>
      <c r="D275" s="936"/>
      <c r="E275" s="936"/>
      <c r="AH275" s="983"/>
      <c r="AI275" s="983"/>
      <c r="AJ275" s="968"/>
      <c r="AL275" s="937"/>
    </row>
    <row r="276" spans="2:38" s="930" customFormat="1" ht="20.25" customHeight="1" x14ac:dyDescent="0.2">
      <c r="B276" s="936"/>
      <c r="C276" s="936"/>
      <c r="D276" s="936"/>
      <c r="E276" s="936"/>
      <c r="AH276" s="983"/>
      <c r="AI276" s="983"/>
      <c r="AJ276" s="968"/>
      <c r="AL276" s="937"/>
    </row>
    <row r="277" spans="2:38" s="930" customFormat="1" ht="20.25" customHeight="1" x14ac:dyDescent="0.2">
      <c r="B277" s="936"/>
      <c r="C277" s="936"/>
      <c r="D277" s="936"/>
      <c r="E277" s="936"/>
      <c r="AH277" s="983"/>
      <c r="AI277" s="983"/>
      <c r="AJ277" s="968"/>
      <c r="AL277" s="937"/>
    </row>
    <row r="278" spans="2:38" s="930" customFormat="1" ht="20.25" customHeight="1" x14ac:dyDescent="0.2">
      <c r="B278" s="936"/>
      <c r="C278" s="936"/>
      <c r="D278" s="936"/>
      <c r="E278" s="936"/>
      <c r="AH278" s="983"/>
      <c r="AI278" s="983"/>
      <c r="AJ278" s="968"/>
      <c r="AL278" s="937"/>
    </row>
    <row r="279" spans="2:38" s="930" customFormat="1" ht="20.25" customHeight="1" x14ac:dyDescent="0.2">
      <c r="B279" s="936"/>
      <c r="C279" s="936"/>
      <c r="D279" s="936"/>
      <c r="E279" s="936"/>
      <c r="AH279" s="983"/>
      <c r="AI279" s="983"/>
      <c r="AJ279" s="968"/>
      <c r="AL279" s="937"/>
    </row>
    <row r="280" spans="2:38" s="930" customFormat="1" ht="20.25" customHeight="1" x14ac:dyDescent="0.2">
      <c r="B280" s="936"/>
      <c r="C280" s="936"/>
      <c r="D280" s="936"/>
      <c r="E280" s="936"/>
      <c r="AH280" s="983"/>
      <c r="AI280" s="983"/>
      <c r="AJ280" s="968"/>
      <c r="AL280" s="937"/>
    </row>
    <row r="281" spans="2:38" s="930" customFormat="1" ht="20.25" customHeight="1" x14ac:dyDescent="0.2">
      <c r="B281" s="936"/>
      <c r="C281" s="936"/>
      <c r="D281" s="936"/>
      <c r="E281" s="936"/>
      <c r="AH281" s="983"/>
      <c r="AI281" s="983"/>
      <c r="AJ281" s="968"/>
      <c r="AL281" s="937"/>
    </row>
    <row r="282" spans="2:38" s="930" customFormat="1" ht="20.25" customHeight="1" x14ac:dyDescent="0.2">
      <c r="B282" s="936"/>
      <c r="C282" s="936"/>
      <c r="D282" s="936"/>
      <c r="E282" s="936"/>
      <c r="AH282" s="983"/>
      <c r="AI282" s="983"/>
      <c r="AJ282" s="968"/>
      <c r="AL282" s="937"/>
    </row>
    <row r="283" spans="2:38" s="930" customFormat="1" ht="20.25" customHeight="1" x14ac:dyDescent="0.2">
      <c r="B283" s="936"/>
      <c r="C283" s="936"/>
      <c r="D283" s="936"/>
      <c r="E283" s="936"/>
      <c r="AH283" s="983"/>
      <c r="AI283" s="983"/>
      <c r="AJ283" s="968"/>
      <c r="AL283" s="937"/>
    </row>
    <row r="284" spans="2:38" s="930" customFormat="1" ht="20.25" customHeight="1" x14ac:dyDescent="0.2">
      <c r="B284" s="936"/>
      <c r="C284" s="936"/>
      <c r="D284" s="936"/>
      <c r="E284" s="936"/>
      <c r="AH284" s="983"/>
      <c r="AI284" s="983"/>
      <c r="AJ284" s="968"/>
      <c r="AL284" s="937"/>
    </row>
    <row r="285" spans="2:38" s="930" customFormat="1" ht="20.25" customHeight="1" x14ac:dyDescent="0.2">
      <c r="B285" s="936"/>
      <c r="C285" s="936"/>
      <c r="D285" s="936"/>
      <c r="E285" s="936"/>
      <c r="AH285" s="983"/>
      <c r="AI285" s="983"/>
      <c r="AJ285" s="968"/>
      <c r="AL285" s="937"/>
    </row>
    <row r="286" spans="2:38" s="930" customFormat="1" ht="20.25" customHeight="1" x14ac:dyDescent="0.2">
      <c r="B286" s="936"/>
      <c r="C286" s="936"/>
      <c r="D286" s="936"/>
      <c r="E286" s="936"/>
      <c r="AH286" s="983"/>
      <c r="AI286" s="983"/>
      <c r="AJ286" s="968"/>
      <c r="AL286" s="937"/>
    </row>
    <row r="287" spans="2:38" s="930" customFormat="1" ht="20.25" customHeight="1" x14ac:dyDescent="0.2">
      <c r="B287" s="936"/>
      <c r="C287" s="936"/>
      <c r="D287" s="936"/>
      <c r="E287" s="936"/>
      <c r="AH287" s="983"/>
      <c r="AI287" s="983"/>
      <c r="AJ287" s="968"/>
      <c r="AL287" s="937"/>
    </row>
    <row r="288" spans="2:38" s="930" customFormat="1" ht="20.25" customHeight="1" x14ac:dyDescent="0.2">
      <c r="B288" s="936"/>
      <c r="C288" s="936"/>
      <c r="D288" s="936"/>
      <c r="E288" s="936"/>
      <c r="AH288" s="983"/>
      <c r="AI288" s="983"/>
      <c r="AJ288" s="968"/>
      <c r="AL288" s="937"/>
    </row>
    <row r="289" spans="2:38" s="930" customFormat="1" ht="20.25" customHeight="1" x14ac:dyDescent="0.2">
      <c r="B289" s="936"/>
      <c r="C289" s="936"/>
      <c r="D289" s="936"/>
      <c r="E289" s="936"/>
      <c r="AH289" s="983"/>
      <c r="AI289" s="983"/>
      <c r="AJ289" s="968"/>
      <c r="AL289" s="937"/>
    </row>
    <row r="290" spans="2:38" s="930" customFormat="1" ht="20.25" customHeight="1" x14ac:dyDescent="0.2">
      <c r="B290" s="936"/>
      <c r="C290" s="936"/>
      <c r="D290" s="936"/>
      <c r="E290" s="936"/>
      <c r="AH290" s="983"/>
      <c r="AI290" s="983"/>
      <c r="AJ290" s="968"/>
      <c r="AL290" s="937"/>
    </row>
    <row r="291" spans="2:38" s="930" customFormat="1" ht="20.25" customHeight="1" x14ac:dyDescent="0.2">
      <c r="B291" s="936"/>
      <c r="C291" s="936"/>
      <c r="D291" s="936"/>
      <c r="E291" s="936"/>
      <c r="AH291" s="983"/>
      <c r="AI291" s="983"/>
      <c r="AJ291" s="968"/>
      <c r="AL291" s="937"/>
    </row>
    <row r="292" spans="2:38" s="930" customFormat="1" ht="20.25" customHeight="1" x14ac:dyDescent="0.2">
      <c r="B292" s="936"/>
      <c r="C292" s="936"/>
      <c r="D292" s="936"/>
      <c r="E292" s="936"/>
      <c r="AH292" s="983"/>
      <c r="AI292" s="983"/>
      <c r="AJ292" s="968"/>
      <c r="AL292" s="937"/>
    </row>
    <row r="293" spans="2:38" s="930" customFormat="1" ht="20.25" customHeight="1" x14ac:dyDescent="0.2">
      <c r="B293" s="936"/>
      <c r="C293" s="936"/>
      <c r="D293" s="936"/>
      <c r="E293" s="936"/>
      <c r="AH293" s="983"/>
      <c r="AI293" s="983"/>
      <c r="AJ293" s="968"/>
      <c r="AL293" s="937"/>
    </row>
    <row r="294" spans="2:38" s="930" customFormat="1" ht="20.25" customHeight="1" x14ac:dyDescent="0.2">
      <c r="B294" s="936"/>
      <c r="C294" s="936"/>
      <c r="D294" s="936"/>
      <c r="E294" s="936"/>
      <c r="AH294" s="983"/>
      <c r="AI294" s="983"/>
      <c r="AJ294" s="968"/>
      <c r="AL294" s="937"/>
    </row>
    <row r="295" spans="2:38" s="930" customFormat="1" ht="20.25" customHeight="1" x14ac:dyDescent="0.2">
      <c r="B295" s="936"/>
      <c r="C295" s="936"/>
      <c r="D295" s="936"/>
      <c r="E295" s="936"/>
      <c r="AH295" s="983"/>
      <c r="AI295" s="983"/>
      <c r="AJ295" s="968"/>
      <c r="AL295" s="937"/>
    </row>
    <row r="296" spans="2:38" s="930" customFormat="1" ht="20.25" customHeight="1" x14ac:dyDescent="0.2">
      <c r="B296" s="936"/>
      <c r="C296" s="936"/>
      <c r="D296" s="936"/>
      <c r="E296" s="936"/>
      <c r="AH296" s="983"/>
      <c r="AI296" s="983"/>
      <c r="AJ296" s="968"/>
      <c r="AL296" s="937"/>
    </row>
    <row r="297" spans="2:38" s="930" customFormat="1" ht="20.25" customHeight="1" x14ac:dyDescent="0.2">
      <c r="B297" s="936"/>
      <c r="C297" s="936"/>
      <c r="D297" s="936"/>
      <c r="E297" s="936"/>
      <c r="AH297" s="983"/>
      <c r="AI297" s="983"/>
      <c r="AJ297" s="968"/>
      <c r="AL297" s="937"/>
    </row>
    <row r="298" spans="2:38" s="930" customFormat="1" ht="20.25" customHeight="1" x14ac:dyDescent="0.2">
      <c r="B298" s="936"/>
      <c r="C298" s="936"/>
      <c r="D298" s="936"/>
      <c r="E298" s="936"/>
      <c r="AH298" s="983"/>
      <c r="AI298" s="983"/>
      <c r="AJ298" s="968"/>
      <c r="AL298" s="937"/>
    </row>
    <row r="299" spans="2:38" s="930" customFormat="1" ht="20.25" customHeight="1" x14ac:dyDescent="0.2">
      <c r="B299" s="936"/>
      <c r="C299" s="936"/>
      <c r="D299" s="936"/>
      <c r="E299" s="936"/>
      <c r="AH299" s="983"/>
      <c r="AI299" s="983"/>
      <c r="AJ299" s="968"/>
      <c r="AL299" s="937"/>
    </row>
    <row r="300" spans="2:38" s="930" customFormat="1" ht="20.25" customHeight="1" x14ac:dyDescent="0.2">
      <c r="B300" s="936"/>
      <c r="C300" s="936"/>
      <c r="D300" s="936"/>
      <c r="E300" s="936"/>
      <c r="AH300" s="983"/>
      <c r="AI300" s="983"/>
      <c r="AJ300" s="968"/>
      <c r="AL300" s="937"/>
    </row>
    <row r="301" spans="2:38" s="930" customFormat="1" ht="20.25" customHeight="1" x14ac:dyDescent="0.2">
      <c r="B301" s="936"/>
      <c r="C301" s="936"/>
      <c r="D301" s="936"/>
      <c r="E301" s="936"/>
      <c r="AH301" s="983"/>
      <c r="AI301" s="983"/>
      <c r="AJ301" s="968"/>
      <c r="AL301" s="937"/>
    </row>
    <row r="302" spans="2:38" s="930" customFormat="1" ht="20.25" customHeight="1" x14ac:dyDescent="0.2">
      <c r="B302" s="936"/>
      <c r="C302" s="936"/>
      <c r="D302" s="936"/>
      <c r="E302" s="936"/>
      <c r="AH302" s="983"/>
      <c r="AI302" s="983"/>
      <c r="AJ302" s="968"/>
      <c r="AL302" s="937"/>
    </row>
    <row r="303" spans="2:38" s="930" customFormat="1" ht="20.25" customHeight="1" x14ac:dyDescent="0.2">
      <c r="B303" s="936"/>
      <c r="C303" s="936"/>
      <c r="D303" s="936"/>
      <c r="E303" s="936"/>
      <c r="AH303" s="983"/>
      <c r="AI303" s="983"/>
      <c r="AJ303" s="968"/>
      <c r="AL303" s="937"/>
    </row>
    <row r="304" spans="2:38" s="930" customFormat="1" ht="20.25" customHeight="1" x14ac:dyDescent="0.2">
      <c r="B304" s="936"/>
      <c r="C304" s="936"/>
      <c r="D304" s="936"/>
      <c r="E304" s="936"/>
      <c r="AH304" s="983"/>
      <c r="AI304" s="983"/>
      <c r="AJ304" s="968"/>
      <c r="AL304" s="937"/>
    </row>
    <row r="305" spans="2:38" s="930" customFormat="1" ht="20.25" customHeight="1" x14ac:dyDescent="0.2">
      <c r="B305" s="936"/>
      <c r="C305" s="936"/>
      <c r="D305" s="936"/>
      <c r="E305" s="936"/>
      <c r="AH305" s="983"/>
      <c r="AI305" s="983"/>
      <c r="AJ305" s="968"/>
      <c r="AL305" s="937"/>
    </row>
    <row r="306" spans="2:38" s="930" customFormat="1" ht="20.25" customHeight="1" x14ac:dyDescent="0.2">
      <c r="B306" s="936"/>
      <c r="C306" s="936"/>
      <c r="D306" s="936"/>
      <c r="E306" s="936"/>
      <c r="AH306" s="983"/>
      <c r="AI306" s="983"/>
      <c r="AJ306" s="968"/>
      <c r="AL306" s="937"/>
    </row>
    <row r="307" spans="2:38" s="930" customFormat="1" ht="20.25" customHeight="1" x14ac:dyDescent="0.2">
      <c r="B307" s="936"/>
      <c r="C307" s="936"/>
      <c r="D307" s="936"/>
      <c r="E307" s="936"/>
      <c r="AH307" s="983"/>
      <c r="AI307" s="983"/>
      <c r="AJ307" s="968"/>
      <c r="AL307" s="937"/>
    </row>
    <row r="308" spans="2:38" s="930" customFormat="1" ht="20.25" customHeight="1" x14ac:dyDescent="0.2">
      <c r="B308" s="936"/>
      <c r="C308" s="936"/>
      <c r="D308" s="936"/>
      <c r="E308" s="936"/>
      <c r="AH308" s="983"/>
      <c r="AI308" s="983"/>
      <c r="AJ308" s="968"/>
      <c r="AL308" s="937"/>
    </row>
    <row r="309" spans="2:38" s="930" customFormat="1" ht="20.25" customHeight="1" x14ac:dyDescent="0.2">
      <c r="B309" s="936"/>
      <c r="C309" s="936"/>
      <c r="D309" s="936"/>
      <c r="E309" s="936"/>
      <c r="AH309" s="983"/>
      <c r="AI309" s="983"/>
      <c r="AJ309" s="968"/>
      <c r="AL309" s="937"/>
    </row>
    <row r="310" spans="2:38" s="930" customFormat="1" ht="20.25" customHeight="1" x14ac:dyDescent="0.2">
      <c r="B310" s="936"/>
      <c r="C310" s="936"/>
      <c r="D310" s="936"/>
      <c r="E310" s="936"/>
      <c r="AH310" s="983"/>
      <c r="AI310" s="983"/>
      <c r="AJ310" s="968"/>
      <c r="AL310" s="937"/>
    </row>
    <row r="311" spans="2:38" s="930" customFormat="1" ht="20.25" customHeight="1" x14ac:dyDescent="0.2">
      <c r="B311" s="936"/>
      <c r="C311" s="936"/>
      <c r="D311" s="936"/>
      <c r="E311" s="936"/>
      <c r="AH311" s="983"/>
      <c r="AI311" s="983"/>
      <c r="AJ311" s="968"/>
      <c r="AL311" s="937"/>
    </row>
    <row r="312" spans="2:38" s="930" customFormat="1" ht="20.25" customHeight="1" x14ac:dyDescent="0.2">
      <c r="B312" s="936"/>
      <c r="C312" s="936"/>
      <c r="D312" s="936"/>
      <c r="E312" s="936"/>
      <c r="AH312" s="983"/>
      <c r="AI312" s="983"/>
      <c r="AJ312" s="968"/>
      <c r="AL312" s="937"/>
    </row>
    <row r="313" spans="2:38" s="930" customFormat="1" ht="20.25" customHeight="1" x14ac:dyDescent="0.2">
      <c r="B313" s="936"/>
      <c r="C313" s="936"/>
      <c r="D313" s="936"/>
      <c r="E313" s="936"/>
      <c r="AH313" s="983"/>
      <c r="AI313" s="983"/>
      <c r="AJ313" s="968"/>
      <c r="AL313" s="937"/>
    </row>
    <row r="314" spans="2:38" s="930" customFormat="1" ht="20.25" customHeight="1" x14ac:dyDescent="0.2">
      <c r="B314" s="936"/>
      <c r="C314" s="936"/>
      <c r="D314" s="936"/>
      <c r="E314" s="936"/>
      <c r="AH314" s="983"/>
      <c r="AI314" s="983"/>
      <c r="AJ314" s="968"/>
      <c r="AL314" s="937"/>
    </row>
    <row r="315" spans="2:38" s="930" customFormat="1" ht="20.25" customHeight="1" x14ac:dyDescent="0.2">
      <c r="B315" s="936"/>
      <c r="C315" s="936"/>
      <c r="D315" s="936"/>
      <c r="E315" s="936"/>
      <c r="AH315" s="983"/>
      <c r="AI315" s="983"/>
      <c r="AJ315" s="968"/>
      <c r="AL315" s="937"/>
    </row>
    <row r="316" spans="2:38" s="930" customFormat="1" ht="20.25" customHeight="1" x14ac:dyDescent="0.2">
      <c r="B316" s="936"/>
      <c r="C316" s="936"/>
      <c r="D316" s="936"/>
      <c r="E316" s="936"/>
      <c r="AH316" s="983"/>
      <c r="AI316" s="983"/>
      <c r="AJ316" s="968"/>
      <c r="AL316" s="937"/>
    </row>
    <row r="317" spans="2:38" s="930" customFormat="1" ht="20.25" customHeight="1" x14ac:dyDescent="0.2">
      <c r="B317" s="936"/>
      <c r="C317" s="936"/>
      <c r="D317" s="936"/>
      <c r="E317" s="936"/>
      <c r="AH317" s="983"/>
      <c r="AI317" s="983"/>
      <c r="AJ317" s="968"/>
      <c r="AL317" s="937"/>
    </row>
    <row r="318" spans="2:38" s="930" customFormat="1" ht="20.25" customHeight="1" x14ac:dyDescent="0.2">
      <c r="B318" s="936"/>
      <c r="C318" s="936"/>
      <c r="D318" s="936"/>
      <c r="E318" s="936"/>
      <c r="AH318" s="983"/>
      <c r="AI318" s="983"/>
      <c r="AJ318" s="968"/>
      <c r="AL318" s="937"/>
    </row>
    <row r="319" spans="2:38" s="930" customFormat="1" ht="20.25" customHeight="1" x14ac:dyDescent="0.2">
      <c r="B319" s="936"/>
      <c r="C319" s="936"/>
      <c r="D319" s="936"/>
      <c r="E319" s="936"/>
      <c r="AH319" s="983"/>
      <c r="AI319" s="983"/>
      <c r="AJ319" s="968"/>
      <c r="AL319" s="937"/>
    </row>
    <row r="320" spans="2:38" s="930" customFormat="1" ht="20.25" customHeight="1" x14ac:dyDescent="0.2">
      <c r="B320" s="936"/>
      <c r="C320" s="936"/>
      <c r="D320" s="936"/>
      <c r="E320" s="936"/>
      <c r="AH320" s="983"/>
      <c r="AI320" s="983"/>
      <c r="AJ320" s="968"/>
      <c r="AL320" s="937"/>
    </row>
    <row r="321" spans="2:38" s="930" customFormat="1" ht="20.25" customHeight="1" x14ac:dyDescent="0.2">
      <c r="B321" s="936"/>
      <c r="C321" s="936"/>
      <c r="D321" s="936"/>
      <c r="E321" s="936"/>
      <c r="AH321" s="983"/>
      <c r="AI321" s="983"/>
      <c r="AJ321" s="968"/>
      <c r="AL321" s="937"/>
    </row>
    <row r="322" spans="2:38" s="930" customFormat="1" ht="20.25" customHeight="1" x14ac:dyDescent="0.2">
      <c r="B322" s="936"/>
      <c r="C322" s="936"/>
      <c r="D322" s="936"/>
      <c r="E322" s="936"/>
      <c r="AH322" s="983"/>
      <c r="AI322" s="983"/>
      <c r="AJ322" s="968"/>
      <c r="AL322" s="937"/>
    </row>
    <row r="323" spans="2:38" s="930" customFormat="1" ht="20.25" customHeight="1" x14ac:dyDescent="0.2">
      <c r="B323" s="936"/>
      <c r="C323" s="936"/>
      <c r="D323" s="936"/>
      <c r="E323" s="936"/>
      <c r="AH323" s="983"/>
      <c r="AI323" s="983"/>
      <c r="AJ323" s="968"/>
      <c r="AL323" s="937"/>
    </row>
    <row r="324" spans="2:38" s="930" customFormat="1" ht="20.25" customHeight="1" x14ac:dyDescent="0.2">
      <c r="B324" s="936"/>
      <c r="C324" s="936"/>
      <c r="D324" s="936"/>
      <c r="E324" s="936"/>
      <c r="AH324" s="983"/>
      <c r="AI324" s="983"/>
      <c r="AJ324" s="968"/>
      <c r="AL324" s="937"/>
    </row>
    <row r="325" spans="2:38" s="930" customFormat="1" ht="20.25" customHeight="1" x14ac:dyDescent="0.2">
      <c r="B325" s="936"/>
      <c r="C325" s="936"/>
      <c r="D325" s="936"/>
      <c r="E325" s="936"/>
      <c r="AH325" s="983"/>
      <c r="AI325" s="983"/>
      <c r="AJ325" s="968"/>
      <c r="AL325" s="937"/>
    </row>
    <row r="326" spans="2:38" s="930" customFormat="1" ht="20.25" customHeight="1" x14ac:dyDescent="0.2">
      <c r="B326" s="936"/>
      <c r="C326" s="936"/>
      <c r="D326" s="936"/>
      <c r="E326" s="936"/>
      <c r="AH326" s="983"/>
      <c r="AI326" s="983"/>
      <c r="AJ326" s="968"/>
      <c r="AL326" s="937"/>
    </row>
    <row r="327" spans="2:38" s="930" customFormat="1" ht="20.25" customHeight="1" x14ac:dyDescent="0.2">
      <c r="B327" s="936"/>
      <c r="C327" s="936"/>
      <c r="D327" s="936"/>
      <c r="E327" s="936"/>
      <c r="AH327" s="983"/>
      <c r="AI327" s="983"/>
      <c r="AJ327" s="968"/>
      <c r="AL327" s="937"/>
    </row>
    <row r="328" spans="2:38" s="930" customFormat="1" ht="20.25" customHeight="1" x14ac:dyDescent="0.2">
      <c r="B328" s="936"/>
      <c r="C328" s="936"/>
      <c r="D328" s="936"/>
      <c r="E328" s="936"/>
      <c r="AH328" s="983"/>
      <c r="AI328" s="983"/>
      <c r="AJ328" s="968"/>
      <c r="AL328" s="937"/>
    </row>
    <row r="329" spans="2:38" s="930" customFormat="1" ht="20.25" customHeight="1" x14ac:dyDescent="0.2">
      <c r="B329" s="936"/>
      <c r="C329" s="936"/>
      <c r="D329" s="936"/>
      <c r="E329" s="936"/>
      <c r="AH329" s="983"/>
      <c r="AI329" s="983"/>
      <c r="AJ329" s="968"/>
      <c r="AL329" s="937"/>
    </row>
    <row r="330" spans="2:38" s="930" customFormat="1" ht="20.25" customHeight="1" x14ac:dyDescent="0.2">
      <c r="B330" s="936"/>
      <c r="C330" s="936"/>
      <c r="D330" s="936"/>
      <c r="E330" s="936"/>
      <c r="AH330" s="983"/>
      <c r="AI330" s="983"/>
      <c r="AJ330" s="968"/>
      <c r="AL330" s="937"/>
    </row>
    <row r="331" spans="2:38" s="930" customFormat="1" ht="20.25" customHeight="1" x14ac:dyDescent="0.2">
      <c r="B331" s="936"/>
      <c r="C331" s="936"/>
      <c r="D331" s="936"/>
      <c r="E331" s="936"/>
      <c r="AH331" s="983"/>
      <c r="AI331" s="983"/>
      <c r="AJ331" s="968"/>
      <c r="AL331" s="937"/>
    </row>
    <row r="332" spans="2:38" s="930" customFormat="1" ht="20.25" customHeight="1" x14ac:dyDescent="0.2">
      <c r="B332" s="936"/>
      <c r="C332" s="936"/>
      <c r="D332" s="936"/>
      <c r="E332" s="936"/>
      <c r="AH332" s="983"/>
      <c r="AI332" s="983"/>
      <c r="AJ332" s="968"/>
      <c r="AL332" s="937"/>
    </row>
    <row r="333" spans="2:38" s="930" customFormat="1" ht="20.25" customHeight="1" x14ac:dyDescent="0.2">
      <c r="B333" s="936"/>
      <c r="C333" s="936"/>
      <c r="D333" s="936"/>
      <c r="E333" s="936"/>
      <c r="AH333" s="983"/>
      <c r="AI333" s="983"/>
      <c r="AJ333" s="968"/>
      <c r="AL333" s="937"/>
    </row>
    <row r="334" spans="2:38" s="930" customFormat="1" ht="20.25" customHeight="1" x14ac:dyDescent="0.2">
      <c r="B334" s="936"/>
      <c r="C334" s="936"/>
      <c r="D334" s="936"/>
      <c r="E334" s="936"/>
      <c r="AH334" s="983"/>
      <c r="AI334" s="983"/>
      <c r="AJ334" s="968"/>
      <c r="AL334" s="937"/>
    </row>
    <row r="335" spans="2:38" s="930" customFormat="1" ht="20.25" customHeight="1" x14ac:dyDescent="0.2">
      <c r="B335" s="936"/>
      <c r="C335" s="936"/>
      <c r="D335" s="936"/>
      <c r="E335" s="936"/>
      <c r="AH335" s="983"/>
      <c r="AI335" s="983"/>
      <c r="AJ335" s="968"/>
      <c r="AL335" s="937"/>
    </row>
    <row r="336" spans="2:38" s="930" customFormat="1" ht="20.25" customHeight="1" x14ac:dyDescent="0.2">
      <c r="B336" s="936"/>
      <c r="C336" s="936"/>
      <c r="D336" s="936"/>
      <c r="E336" s="936"/>
      <c r="AH336" s="983"/>
      <c r="AI336" s="983"/>
      <c r="AJ336" s="968"/>
      <c r="AL336" s="937"/>
    </row>
    <row r="337" spans="2:38" s="930" customFormat="1" ht="20.25" customHeight="1" x14ac:dyDescent="0.2">
      <c r="B337" s="936"/>
      <c r="C337" s="936"/>
      <c r="D337" s="936"/>
      <c r="E337" s="936"/>
      <c r="AH337" s="983"/>
      <c r="AI337" s="983"/>
      <c r="AJ337" s="968"/>
      <c r="AL337" s="937"/>
    </row>
    <row r="338" spans="2:38" s="930" customFormat="1" ht="20.25" customHeight="1" x14ac:dyDescent="0.2">
      <c r="B338" s="936"/>
      <c r="C338" s="936"/>
      <c r="D338" s="936"/>
      <c r="E338" s="936"/>
      <c r="AH338" s="983"/>
      <c r="AI338" s="983"/>
      <c r="AJ338" s="968"/>
      <c r="AL338" s="937"/>
    </row>
    <row r="339" spans="2:38" s="930" customFormat="1" ht="20.25" customHeight="1" x14ac:dyDescent="0.2">
      <c r="B339" s="936"/>
      <c r="C339" s="936"/>
      <c r="D339" s="936"/>
      <c r="E339" s="936"/>
      <c r="AH339" s="983"/>
      <c r="AI339" s="983"/>
      <c r="AJ339" s="968"/>
      <c r="AL339" s="937"/>
    </row>
    <row r="340" spans="2:38" s="930" customFormat="1" ht="20.25" customHeight="1" x14ac:dyDescent="0.2">
      <c r="B340" s="936"/>
      <c r="C340" s="936"/>
      <c r="D340" s="936"/>
      <c r="E340" s="936"/>
      <c r="AH340" s="983"/>
      <c r="AI340" s="983"/>
      <c r="AJ340" s="968"/>
      <c r="AL340" s="937"/>
    </row>
    <row r="341" spans="2:38" s="930" customFormat="1" ht="20.25" customHeight="1" x14ac:dyDescent="0.2">
      <c r="B341" s="936"/>
      <c r="C341" s="936"/>
      <c r="D341" s="936"/>
      <c r="E341" s="936"/>
      <c r="AH341" s="983"/>
      <c r="AI341" s="983"/>
      <c r="AJ341" s="968"/>
      <c r="AL341" s="937"/>
    </row>
    <row r="342" spans="2:38" s="930" customFormat="1" ht="20.25" customHeight="1" x14ac:dyDescent="0.2">
      <c r="B342" s="936"/>
      <c r="C342" s="936"/>
      <c r="D342" s="936"/>
      <c r="E342" s="936"/>
      <c r="AH342" s="983"/>
      <c r="AI342" s="983"/>
      <c r="AJ342" s="968"/>
      <c r="AL342" s="937"/>
    </row>
    <row r="343" spans="2:38" s="930" customFormat="1" ht="20.25" customHeight="1" x14ac:dyDescent="0.2">
      <c r="B343" s="936"/>
      <c r="C343" s="936"/>
      <c r="D343" s="936"/>
      <c r="E343" s="936"/>
      <c r="AH343" s="983"/>
      <c r="AI343" s="983"/>
      <c r="AJ343" s="968"/>
      <c r="AL343" s="937"/>
    </row>
    <row r="344" spans="2:38" s="930" customFormat="1" ht="20.25" customHeight="1" x14ac:dyDescent="0.2">
      <c r="B344" s="936"/>
      <c r="C344" s="936"/>
      <c r="D344" s="936"/>
      <c r="E344" s="936"/>
      <c r="AH344" s="983"/>
      <c r="AI344" s="983"/>
      <c r="AJ344" s="968"/>
      <c r="AL344" s="937"/>
    </row>
    <row r="345" spans="2:38" s="930" customFormat="1" ht="20.25" customHeight="1" x14ac:dyDescent="0.2">
      <c r="B345" s="936"/>
      <c r="C345" s="936"/>
      <c r="D345" s="936"/>
      <c r="E345" s="936"/>
      <c r="AH345" s="983"/>
      <c r="AI345" s="983"/>
      <c r="AJ345" s="968"/>
      <c r="AL345" s="937"/>
    </row>
    <row r="346" spans="2:38" s="930" customFormat="1" ht="20.25" customHeight="1" x14ac:dyDescent="0.2">
      <c r="B346" s="936"/>
      <c r="C346" s="936"/>
      <c r="D346" s="936"/>
      <c r="E346" s="936"/>
      <c r="AH346" s="983"/>
      <c r="AI346" s="983"/>
      <c r="AJ346" s="968"/>
      <c r="AL346" s="937"/>
    </row>
    <row r="347" spans="2:38" s="930" customFormat="1" ht="20.25" customHeight="1" x14ac:dyDescent="0.2">
      <c r="B347" s="936"/>
      <c r="C347" s="936"/>
      <c r="D347" s="936"/>
      <c r="E347" s="936"/>
      <c r="AH347" s="983"/>
      <c r="AI347" s="983"/>
      <c r="AJ347" s="968"/>
      <c r="AL347" s="937"/>
    </row>
    <row r="348" spans="2:38" s="930" customFormat="1" ht="20.25" customHeight="1" x14ac:dyDescent="0.2">
      <c r="B348" s="936"/>
      <c r="C348" s="936"/>
      <c r="D348" s="936"/>
      <c r="E348" s="936"/>
      <c r="AH348" s="983"/>
      <c r="AI348" s="983"/>
      <c r="AJ348" s="968"/>
      <c r="AL348" s="937"/>
    </row>
    <row r="349" spans="2:38" s="930" customFormat="1" ht="20.25" customHeight="1" x14ac:dyDescent="0.2">
      <c r="B349" s="936"/>
      <c r="C349" s="936"/>
      <c r="D349" s="936"/>
      <c r="E349" s="936"/>
      <c r="AH349" s="983"/>
      <c r="AI349" s="983"/>
      <c r="AJ349" s="968"/>
      <c r="AL349" s="937"/>
    </row>
    <row r="350" spans="2:38" s="930" customFormat="1" ht="20.25" customHeight="1" x14ac:dyDescent="0.2">
      <c r="B350" s="936"/>
      <c r="C350" s="936"/>
      <c r="D350" s="936"/>
      <c r="E350" s="936"/>
      <c r="AH350" s="983"/>
      <c r="AI350" s="983"/>
      <c r="AJ350" s="968"/>
      <c r="AL350" s="937"/>
    </row>
    <row r="351" spans="2:38" s="930" customFormat="1" ht="20.25" customHeight="1" x14ac:dyDescent="0.2">
      <c r="B351" s="936"/>
      <c r="C351" s="936"/>
      <c r="D351" s="936"/>
      <c r="E351" s="936"/>
      <c r="AH351" s="983"/>
      <c r="AI351" s="983"/>
      <c r="AJ351" s="968"/>
      <c r="AL351" s="937"/>
    </row>
    <row r="352" spans="2:38" s="930" customFormat="1" ht="20.25" customHeight="1" x14ac:dyDescent="0.2">
      <c r="B352" s="936"/>
      <c r="C352" s="936"/>
      <c r="D352" s="936"/>
      <c r="E352" s="936"/>
      <c r="AH352" s="983"/>
      <c r="AI352" s="983"/>
      <c r="AJ352" s="968"/>
      <c r="AL352" s="937"/>
    </row>
    <row r="353" spans="2:38" s="930" customFormat="1" ht="20.25" customHeight="1" x14ac:dyDescent="0.2">
      <c r="B353" s="936"/>
      <c r="C353" s="936"/>
      <c r="D353" s="936"/>
      <c r="E353" s="936"/>
      <c r="AH353" s="983"/>
      <c r="AI353" s="983"/>
      <c r="AJ353" s="968"/>
      <c r="AL353" s="937"/>
    </row>
    <row r="354" spans="2:38" s="930" customFormat="1" ht="20.25" customHeight="1" x14ac:dyDescent="0.2">
      <c r="B354" s="936"/>
      <c r="C354" s="936"/>
      <c r="D354" s="936"/>
      <c r="E354" s="936"/>
      <c r="AH354" s="983"/>
      <c r="AI354" s="983"/>
      <c r="AJ354" s="968"/>
      <c r="AL354" s="937"/>
    </row>
    <row r="355" spans="2:38" s="930" customFormat="1" ht="20.25" customHeight="1" x14ac:dyDescent="0.2">
      <c r="B355" s="936"/>
      <c r="C355" s="936"/>
      <c r="D355" s="936"/>
      <c r="E355" s="936"/>
      <c r="AH355" s="983"/>
      <c r="AI355" s="983"/>
      <c r="AJ355" s="968"/>
      <c r="AL355" s="937"/>
    </row>
    <row r="356" spans="2:38" s="930" customFormat="1" ht="20.25" customHeight="1" x14ac:dyDescent="0.2">
      <c r="B356" s="936"/>
      <c r="C356" s="936"/>
      <c r="D356" s="936"/>
      <c r="E356" s="936"/>
      <c r="AH356" s="983"/>
      <c r="AI356" s="983"/>
      <c r="AJ356" s="968"/>
      <c r="AL356" s="937"/>
    </row>
    <row r="357" spans="2:38" s="930" customFormat="1" ht="20.25" customHeight="1" x14ac:dyDescent="0.2">
      <c r="B357" s="936"/>
      <c r="C357" s="936"/>
      <c r="D357" s="936"/>
      <c r="E357" s="936"/>
      <c r="AH357" s="983"/>
      <c r="AI357" s="983"/>
      <c r="AJ357" s="968"/>
      <c r="AL357" s="937"/>
    </row>
    <row r="358" spans="2:38" s="930" customFormat="1" ht="20.25" customHeight="1" x14ac:dyDescent="0.2">
      <c r="B358" s="936"/>
      <c r="C358" s="936"/>
      <c r="D358" s="936"/>
      <c r="E358" s="936"/>
      <c r="AH358" s="983"/>
      <c r="AI358" s="983"/>
      <c r="AJ358" s="968"/>
      <c r="AL358" s="937"/>
    </row>
    <row r="359" spans="2:38" s="930" customFormat="1" ht="20.25" customHeight="1" x14ac:dyDescent="0.2">
      <c r="B359" s="936"/>
      <c r="C359" s="936"/>
      <c r="D359" s="936"/>
      <c r="E359" s="936"/>
      <c r="AH359" s="983"/>
      <c r="AI359" s="983"/>
      <c r="AJ359" s="968"/>
      <c r="AL359" s="937"/>
    </row>
    <row r="360" spans="2:38" s="930" customFormat="1" ht="20.25" customHeight="1" x14ac:dyDescent="0.2">
      <c r="B360" s="936"/>
      <c r="C360" s="936"/>
      <c r="D360" s="936"/>
      <c r="E360" s="936"/>
      <c r="AH360" s="983"/>
      <c r="AI360" s="983"/>
      <c r="AJ360" s="968"/>
      <c r="AL360" s="937"/>
    </row>
    <row r="361" spans="2:38" s="930" customFormat="1" ht="20.25" customHeight="1" x14ac:dyDescent="0.2">
      <c r="B361" s="936"/>
      <c r="C361" s="936"/>
      <c r="D361" s="936"/>
      <c r="E361" s="936"/>
      <c r="AH361" s="983"/>
      <c r="AI361" s="983"/>
      <c r="AJ361" s="968"/>
      <c r="AL361" s="937"/>
    </row>
    <row r="362" spans="2:38" s="930" customFormat="1" ht="20.25" customHeight="1" x14ac:dyDescent="0.2">
      <c r="B362" s="936"/>
      <c r="C362" s="936"/>
      <c r="D362" s="936"/>
      <c r="E362" s="936"/>
      <c r="AH362" s="983"/>
      <c r="AI362" s="983"/>
      <c r="AJ362" s="968"/>
      <c r="AL362" s="937"/>
    </row>
    <row r="363" spans="2:38" s="930" customFormat="1" ht="20.25" customHeight="1" x14ac:dyDescent="0.2">
      <c r="B363" s="936"/>
      <c r="C363" s="936"/>
      <c r="D363" s="936"/>
      <c r="E363" s="936"/>
      <c r="AH363" s="983"/>
      <c r="AI363" s="983"/>
      <c r="AJ363" s="968"/>
      <c r="AL363" s="937"/>
    </row>
    <row r="364" spans="2:38" s="930" customFormat="1" ht="20.25" customHeight="1" x14ac:dyDescent="0.2">
      <c r="B364" s="936"/>
      <c r="C364" s="936"/>
      <c r="D364" s="936"/>
      <c r="E364" s="936"/>
      <c r="AH364" s="983"/>
      <c r="AI364" s="983"/>
      <c r="AJ364" s="968"/>
      <c r="AL364" s="937"/>
    </row>
    <row r="365" spans="2:38" s="930" customFormat="1" ht="20.25" customHeight="1" x14ac:dyDescent="0.2">
      <c r="B365" s="936"/>
      <c r="C365" s="936"/>
      <c r="D365" s="936"/>
      <c r="E365" s="936"/>
      <c r="AH365" s="983"/>
      <c r="AI365" s="983"/>
      <c r="AJ365" s="968"/>
      <c r="AL365" s="937"/>
    </row>
    <row r="366" spans="2:38" s="930" customFormat="1" ht="20.25" customHeight="1" x14ac:dyDescent="0.2">
      <c r="B366" s="936"/>
      <c r="C366" s="936"/>
      <c r="D366" s="936"/>
      <c r="E366" s="936"/>
      <c r="AH366" s="983"/>
      <c r="AI366" s="983"/>
      <c r="AJ366" s="968"/>
      <c r="AL366" s="937"/>
    </row>
    <row r="367" spans="2:38" s="930" customFormat="1" ht="20.25" customHeight="1" x14ac:dyDescent="0.2">
      <c r="B367" s="936"/>
      <c r="C367" s="936"/>
      <c r="D367" s="936"/>
      <c r="E367" s="936"/>
      <c r="AH367" s="983"/>
      <c r="AI367" s="983"/>
      <c r="AJ367" s="968"/>
      <c r="AL367" s="937"/>
    </row>
    <row r="368" spans="2:38" s="930" customFormat="1" ht="20.25" customHeight="1" x14ac:dyDescent="0.2">
      <c r="B368" s="936"/>
      <c r="C368" s="936"/>
      <c r="D368" s="936"/>
      <c r="E368" s="936"/>
      <c r="AH368" s="983"/>
      <c r="AI368" s="983"/>
      <c r="AJ368" s="968"/>
      <c r="AL368" s="937"/>
    </row>
    <row r="369" spans="2:38" s="930" customFormat="1" ht="20.25" customHeight="1" x14ac:dyDescent="0.2">
      <c r="B369" s="936"/>
      <c r="C369" s="936"/>
      <c r="D369" s="936"/>
      <c r="E369" s="936"/>
      <c r="AH369" s="983"/>
      <c r="AI369" s="983"/>
      <c r="AJ369" s="968"/>
      <c r="AL369" s="937"/>
    </row>
    <row r="370" spans="2:38" s="930" customFormat="1" ht="20.25" customHeight="1" x14ac:dyDescent="0.2">
      <c r="B370" s="936"/>
      <c r="C370" s="936"/>
      <c r="D370" s="936"/>
      <c r="E370" s="936"/>
      <c r="AH370" s="983"/>
      <c r="AI370" s="983"/>
      <c r="AJ370" s="968"/>
      <c r="AL370" s="937"/>
    </row>
    <row r="371" spans="2:38" s="930" customFormat="1" ht="20.25" customHeight="1" x14ac:dyDescent="0.2">
      <c r="B371" s="936"/>
      <c r="C371" s="936"/>
      <c r="D371" s="936"/>
      <c r="E371" s="936"/>
      <c r="AH371" s="983"/>
      <c r="AI371" s="983"/>
      <c r="AJ371" s="968"/>
      <c r="AL371" s="937"/>
    </row>
    <row r="372" spans="2:38" s="930" customFormat="1" ht="20.25" customHeight="1" x14ac:dyDescent="0.2">
      <c r="B372" s="936"/>
      <c r="C372" s="936"/>
      <c r="D372" s="936"/>
      <c r="E372" s="936"/>
      <c r="AH372" s="983"/>
      <c r="AI372" s="983"/>
      <c r="AJ372" s="968"/>
      <c r="AL372" s="937"/>
    </row>
    <row r="373" spans="2:38" s="930" customFormat="1" ht="20.25" customHeight="1" x14ac:dyDescent="0.2">
      <c r="B373" s="936"/>
      <c r="C373" s="936"/>
      <c r="D373" s="936"/>
      <c r="E373" s="936"/>
      <c r="AH373" s="983"/>
      <c r="AI373" s="983"/>
      <c r="AJ373" s="968"/>
      <c r="AL373" s="937"/>
    </row>
    <row r="374" spans="2:38" s="930" customFormat="1" ht="20.25" customHeight="1" x14ac:dyDescent="0.2">
      <c r="B374" s="936"/>
      <c r="C374" s="936"/>
      <c r="D374" s="936"/>
      <c r="E374" s="936"/>
      <c r="AH374" s="983"/>
      <c r="AI374" s="983"/>
      <c r="AJ374" s="968"/>
      <c r="AL374" s="937"/>
    </row>
    <row r="375" spans="2:38" s="930" customFormat="1" ht="20.25" customHeight="1" x14ac:dyDescent="0.2">
      <c r="B375" s="936"/>
      <c r="C375" s="936"/>
      <c r="D375" s="936"/>
      <c r="E375" s="936"/>
      <c r="AH375" s="983"/>
      <c r="AI375" s="983"/>
      <c r="AJ375" s="968"/>
      <c r="AL375" s="937"/>
    </row>
    <row r="376" spans="2:38" s="930" customFormat="1" ht="20.25" customHeight="1" x14ac:dyDescent="0.2">
      <c r="B376" s="936"/>
      <c r="C376" s="936"/>
      <c r="D376" s="936"/>
      <c r="E376" s="936"/>
      <c r="AH376" s="983"/>
      <c r="AI376" s="983"/>
      <c r="AJ376" s="968"/>
      <c r="AL376" s="937"/>
    </row>
    <row r="377" spans="2:38" s="930" customFormat="1" ht="20.25" customHeight="1" x14ac:dyDescent="0.2">
      <c r="B377" s="936"/>
      <c r="C377" s="936"/>
      <c r="D377" s="936"/>
      <c r="E377" s="936"/>
      <c r="AH377" s="983"/>
      <c r="AI377" s="983"/>
      <c r="AJ377" s="968"/>
      <c r="AL377" s="937"/>
    </row>
    <row r="378" spans="2:38" s="930" customFormat="1" ht="20.25" customHeight="1" x14ac:dyDescent="0.2">
      <c r="B378" s="936"/>
      <c r="C378" s="936"/>
      <c r="D378" s="936"/>
      <c r="E378" s="936"/>
      <c r="AH378" s="983"/>
      <c r="AI378" s="983"/>
      <c r="AJ378" s="968"/>
      <c r="AL378" s="937"/>
    </row>
    <row r="379" spans="2:38" s="930" customFormat="1" ht="20.25" customHeight="1" x14ac:dyDescent="0.2">
      <c r="B379" s="936"/>
      <c r="C379" s="936"/>
      <c r="D379" s="936"/>
      <c r="E379" s="936"/>
      <c r="AH379" s="983"/>
      <c r="AI379" s="983"/>
      <c r="AJ379" s="968"/>
      <c r="AL379" s="937"/>
    </row>
    <row r="380" spans="2:38" s="930" customFormat="1" ht="20.25" customHeight="1" x14ac:dyDescent="0.2">
      <c r="B380" s="936"/>
      <c r="C380" s="936"/>
      <c r="D380" s="936"/>
      <c r="E380" s="936"/>
      <c r="AH380" s="983"/>
      <c r="AI380" s="983"/>
      <c r="AJ380" s="968"/>
      <c r="AL380" s="937"/>
    </row>
    <row r="381" spans="2:38" s="930" customFormat="1" ht="20.25" customHeight="1" x14ac:dyDescent="0.2">
      <c r="B381" s="936"/>
      <c r="C381" s="936"/>
      <c r="D381" s="936"/>
      <c r="E381" s="936"/>
      <c r="AH381" s="983"/>
      <c r="AI381" s="983"/>
      <c r="AJ381" s="968"/>
      <c r="AL381" s="937"/>
    </row>
    <row r="382" spans="2:38" s="930" customFormat="1" ht="20.25" customHeight="1" x14ac:dyDescent="0.2">
      <c r="B382" s="936"/>
      <c r="C382" s="936"/>
      <c r="D382" s="936"/>
      <c r="E382" s="936"/>
      <c r="AH382" s="983"/>
      <c r="AI382" s="983"/>
      <c r="AJ382" s="968"/>
      <c r="AL382" s="937"/>
    </row>
    <row r="383" spans="2:38" s="930" customFormat="1" ht="20.25" customHeight="1" x14ac:dyDescent="0.2">
      <c r="B383" s="936"/>
      <c r="C383" s="936"/>
      <c r="D383" s="936"/>
      <c r="E383" s="936"/>
      <c r="AH383" s="983"/>
      <c r="AI383" s="983"/>
      <c r="AJ383" s="968"/>
      <c r="AL383" s="937"/>
    </row>
    <row r="384" spans="2:38" s="930" customFormat="1" ht="20.25" customHeight="1" x14ac:dyDescent="0.2">
      <c r="B384" s="936"/>
      <c r="C384" s="936"/>
      <c r="D384" s="936"/>
      <c r="E384" s="936"/>
      <c r="AH384" s="983"/>
      <c r="AI384" s="983"/>
      <c r="AJ384" s="968"/>
      <c r="AL384" s="937"/>
    </row>
    <row r="385" spans="2:38" s="930" customFormat="1" ht="20.25" customHeight="1" x14ac:dyDescent="0.2">
      <c r="B385" s="936"/>
      <c r="C385" s="936"/>
      <c r="D385" s="936"/>
      <c r="E385" s="936"/>
      <c r="AH385" s="983"/>
      <c r="AI385" s="983"/>
      <c r="AJ385" s="968"/>
      <c r="AL385" s="937"/>
    </row>
    <row r="386" spans="2:38" s="930" customFormat="1" ht="20.25" customHeight="1" x14ac:dyDescent="0.2">
      <c r="B386" s="936"/>
      <c r="C386" s="936"/>
      <c r="D386" s="936"/>
      <c r="E386" s="936"/>
      <c r="AH386" s="983"/>
      <c r="AI386" s="983"/>
      <c r="AJ386" s="968"/>
      <c r="AL386" s="937"/>
    </row>
    <row r="387" spans="2:38" s="930" customFormat="1" ht="20.25" customHeight="1" x14ac:dyDescent="0.2">
      <c r="B387" s="936"/>
      <c r="C387" s="936"/>
      <c r="D387" s="936"/>
      <c r="E387" s="936"/>
      <c r="AH387" s="983"/>
      <c r="AI387" s="983"/>
      <c r="AJ387" s="968"/>
      <c r="AL387" s="937"/>
    </row>
    <row r="388" spans="2:38" s="930" customFormat="1" ht="20.25" customHeight="1" x14ac:dyDescent="0.2">
      <c r="B388" s="936"/>
      <c r="C388" s="936"/>
      <c r="D388" s="936"/>
      <c r="E388" s="936"/>
      <c r="AH388" s="983"/>
      <c r="AI388" s="983"/>
      <c r="AJ388" s="968"/>
      <c r="AL388" s="937"/>
    </row>
    <row r="389" spans="2:38" s="930" customFormat="1" ht="20.25" customHeight="1" x14ac:dyDescent="0.2">
      <c r="B389" s="936"/>
      <c r="C389" s="936"/>
      <c r="D389" s="936"/>
      <c r="E389" s="936"/>
      <c r="AH389" s="983"/>
      <c r="AI389" s="983"/>
      <c r="AJ389" s="968"/>
      <c r="AL389" s="937"/>
    </row>
    <row r="390" spans="2:38" s="930" customFormat="1" ht="20.25" customHeight="1" x14ac:dyDescent="0.2">
      <c r="B390" s="936"/>
      <c r="C390" s="936"/>
      <c r="D390" s="936"/>
      <c r="E390" s="936"/>
      <c r="AH390" s="983"/>
      <c r="AI390" s="983"/>
      <c r="AJ390" s="968"/>
      <c r="AL390" s="937"/>
    </row>
    <row r="391" spans="2:38" s="930" customFormat="1" ht="20.25" customHeight="1" x14ac:dyDescent="0.2">
      <c r="B391" s="936"/>
      <c r="C391" s="936"/>
      <c r="D391" s="936"/>
      <c r="E391" s="936"/>
      <c r="AH391" s="983"/>
      <c r="AI391" s="983"/>
      <c r="AJ391" s="968"/>
      <c r="AL391" s="937"/>
    </row>
    <row r="392" spans="2:38" s="930" customFormat="1" ht="20.25" customHeight="1" x14ac:dyDescent="0.2">
      <c r="B392" s="936"/>
      <c r="C392" s="936"/>
      <c r="D392" s="936"/>
      <c r="E392" s="936"/>
      <c r="AH392" s="983"/>
      <c r="AI392" s="983"/>
      <c r="AJ392" s="968"/>
      <c r="AL392" s="937"/>
    </row>
    <row r="393" spans="2:38" s="930" customFormat="1" ht="20.25" customHeight="1" x14ac:dyDescent="0.2">
      <c r="B393" s="936"/>
      <c r="C393" s="936"/>
      <c r="D393" s="936"/>
      <c r="E393" s="936"/>
      <c r="AH393" s="983"/>
      <c r="AI393" s="983"/>
      <c r="AJ393" s="968"/>
      <c r="AL393" s="937"/>
    </row>
    <row r="394" spans="2:38" s="930" customFormat="1" ht="20.25" customHeight="1" x14ac:dyDescent="0.2">
      <c r="B394" s="936"/>
      <c r="C394" s="936"/>
      <c r="D394" s="936"/>
      <c r="E394" s="936"/>
      <c r="AH394" s="983"/>
      <c r="AI394" s="983"/>
      <c r="AJ394" s="968"/>
      <c r="AL394" s="937"/>
    </row>
    <row r="395" spans="2:38" s="930" customFormat="1" ht="20.25" customHeight="1" x14ac:dyDescent="0.2">
      <c r="B395" s="936"/>
      <c r="C395" s="936"/>
      <c r="D395" s="936"/>
      <c r="E395" s="936"/>
      <c r="AH395" s="983"/>
      <c r="AI395" s="983"/>
      <c r="AJ395" s="968"/>
      <c r="AL395" s="937"/>
    </row>
    <row r="396" spans="2:38" s="930" customFormat="1" ht="20.25" customHeight="1" x14ac:dyDescent="0.2">
      <c r="B396" s="936"/>
      <c r="C396" s="936"/>
      <c r="D396" s="936"/>
      <c r="E396" s="936"/>
      <c r="AH396" s="983"/>
      <c r="AI396" s="983"/>
      <c r="AJ396" s="968"/>
      <c r="AL396" s="937"/>
    </row>
    <row r="397" spans="2:38" s="930" customFormat="1" ht="20.25" customHeight="1" x14ac:dyDescent="0.2">
      <c r="B397" s="936"/>
      <c r="C397" s="936"/>
      <c r="D397" s="936"/>
      <c r="E397" s="936"/>
      <c r="AH397" s="983"/>
      <c r="AI397" s="983"/>
      <c r="AJ397" s="968"/>
      <c r="AL397" s="937"/>
    </row>
    <row r="398" spans="2:38" s="930" customFormat="1" ht="20.25" customHeight="1" x14ac:dyDescent="0.2">
      <c r="B398" s="936"/>
      <c r="C398" s="936"/>
      <c r="D398" s="936"/>
      <c r="E398" s="936"/>
      <c r="AH398" s="983"/>
      <c r="AI398" s="983"/>
      <c r="AJ398" s="968"/>
      <c r="AL398" s="937"/>
    </row>
    <row r="399" spans="2:38" s="930" customFormat="1" ht="20.25" customHeight="1" x14ac:dyDescent="0.2">
      <c r="B399" s="936"/>
      <c r="C399" s="936"/>
      <c r="D399" s="936"/>
      <c r="E399" s="936"/>
      <c r="AH399" s="983"/>
      <c r="AI399" s="983"/>
      <c r="AJ399" s="968"/>
      <c r="AL399" s="937"/>
    </row>
    <row r="400" spans="2:38" s="930" customFormat="1" ht="20.25" customHeight="1" x14ac:dyDescent="0.2">
      <c r="B400" s="936"/>
      <c r="C400" s="936"/>
      <c r="D400" s="936"/>
      <c r="E400" s="936"/>
      <c r="AH400" s="983"/>
      <c r="AI400" s="983"/>
      <c r="AJ400" s="968"/>
      <c r="AL400" s="937"/>
    </row>
    <row r="401" spans="2:38" s="930" customFormat="1" ht="20.25" customHeight="1" x14ac:dyDescent="0.2">
      <c r="B401" s="936"/>
      <c r="C401" s="936"/>
      <c r="D401" s="936"/>
      <c r="E401" s="936"/>
      <c r="AH401" s="983"/>
      <c r="AI401" s="983"/>
      <c r="AJ401" s="968"/>
      <c r="AL401" s="937"/>
    </row>
    <row r="402" spans="2:38" s="930" customFormat="1" ht="20.25" customHeight="1" x14ac:dyDescent="0.2">
      <c r="B402" s="936"/>
      <c r="C402" s="936"/>
      <c r="D402" s="936"/>
      <c r="E402" s="936"/>
      <c r="AH402" s="983"/>
      <c r="AI402" s="983"/>
      <c r="AJ402" s="968"/>
      <c r="AL402" s="937"/>
    </row>
    <row r="403" spans="2:38" s="930" customFormat="1" ht="20.25" customHeight="1" x14ac:dyDescent="0.2">
      <c r="B403" s="936"/>
      <c r="C403" s="936"/>
      <c r="D403" s="936"/>
      <c r="E403" s="936"/>
      <c r="AH403" s="983"/>
      <c r="AI403" s="983"/>
      <c r="AJ403" s="968"/>
      <c r="AL403" s="937"/>
    </row>
    <row r="404" spans="2:38" s="930" customFormat="1" ht="20.25" customHeight="1" x14ac:dyDescent="0.2">
      <c r="B404" s="936"/>
      <c r="C404" s="936"/>
      <c r="D404" s="936"/>
      <c r="E404" s="936"/>
      <c r="AH404" s="983"/>
      <c r="AI404" s="983"/>
      <c r="AJ404" s="968"/>
      <c r="AL404" s="937"/>
    </row>
    <row r="405" spans="2:38" s="930" customFormat="1" ht="20.25" customHeight="1" x14ac:dyDescent="0.2">
      <c r="B405" s="936"/>
      <c r="C405" s="936"/>
      <c r="D405" s="936"/>
      <c r="E405" s="936"/>
      <c r="AH405" s="983"/>
      <c r="AI405" s="983"/>
      <c r="AJ405" s="968"/>
      <c r="AL405" s="937"/>
    </row>
    <row r="406" spans="2:38" s="930" customFormat="1" ht="20.25" customHeight="1" x14ac:dyDescent="0.2">
      <c r="B406" s="936"/>
      <c r="C406" s="936"/>
      <c r="D406" s="936"/>
      <c r="E406" s="936"/>
      <c r="AH406" s="983"/>
      <c r="AI406" s="983"/>
      <c r="AJ406" s="968"/>
      <c r="AL406" s="937"/>
    </row>
    <row r="407" spans="2:38" s="930" customFormat="1" ht="20.25" customHeight="1" x14ac:dyDescent="0.2">
      <c r="B407" s="936"/>
      <c r="C407" s="936"/>
      <c r="D407" s="936"/>
      <c r="E407" s="936"/>
      <c r="AH407" s="983"/>
      <c r="AI407" s="983"/>
      <c r="AJ407" s="968"/>
      <c r="AL407" s="937"/>
    </row>
    <row r="408" spans="2:38" s="930" customFormat="1" ht="20.25" customHeight="1" x14ac:dyDescent="0.2">
      <c r="B408" s="936"/>
      <c r="C408" s="936"/>
      <c r="D408" s="936"/>
      <c r="E408" s="936"/>
      <c r="AH408" s="983"/>
      <c r="AI408" s="983"/>
      <c r="AJ408" s="968"/>
      <c r="AL408" s="937"/>
    </row>
    <row r="409" spans="2:38" s="930" customFormat="1" ht="20.25" customHeight="1" x14ac:dyDescent="0.2">
      <c r="B409" s="936"/>
      <c r="C409" s="936"/>
      <c r="D409" s="936"/>
      <c r="E409" s="936"/>
      <c r="AH409" s="983"/>
      <c r="AI409" s="983"/>
      <c r="AJ409" s="968"/>
      <c r="AL409" s="937"/>
    </row>
    <row r="410" spans="2:38" s="930" customFormat="1" ht="20.25" customHeight="1" x14ac:dyDescent="0.2">
      <c r="B410" s="936"/>
      <c r="C410" s="936"/>
      <c r="D410" s="936"/>
      <c r="E410" s="936"/>
      <c r="AH410" s="983"/>
      <c r="AI410" s="983"/>
      <c r="AJ410" s="968"/>
      <c r="AL410" s="937"/>
    </row>
    <row r="411" spans="2:38" s="930" customFormat="1" ht="20.25" customHeight="1" x14ac:dyDescent="0.2">
      <c r="B411" s="936"/>
      <c r="C411" s="936"/>
      <c r="D411" s="936"/>
      <c r="E411" s="936"/>
      <c r="AH411" s="983"/>
      <c r="AI411" s="983"/>
      <c r="AJ411" s="968"/>
      <c r="AL411" s="937"/>
    </row>
    <row r="412" spans="2:38" s="930" customFormat="1" ht="20.25" customHeight="1" x14ac:dyDescent="0.2">
      <c r="B412" s="936"/>
      <c r="C412" s="936"/>
      <c r="D412" s="936"/>
      <c r="E412" s="936"/>
      <c r="AH412" s="983"/>
      <c r="AI412" s="983"/>
      <c r="AJ412" s="968"/>
      <c r="AL412" s="937"/>
    </row>
    <row r="413" spans="2:38" s="930" customFormat="1" ht="20.25" customHeight="1" x14ac:dyDescent="0.2">
      <c r="B413" s="936"/>
      <c r="C413" s="936"/>
      <c r="D413" s="936"/>
      <c r="E413" s="936"/>
      <c r="AH413" s="983"/>
      <c r="AI413" s="983"/>
      <c r="AJ413" s="968"/>
      <c r="AL413" s="937"/>
    </row>
    <row r="414" spans="2:38" s="930" customFormat="1" ht="20.25" customHeight="1" x14ac:dyDescent="0.2">
      <c r="B414" s="936"/>
      <c r="C414" s="936"/>
      <c r="D414" s="936"/>
      <c r="E414" s="936"/>
      <c r="AH414" s="983"/>
      <c r="AI414" s="983"/>
      <c r="AJ414" s="968"/>
      <c r="AL414" s="937"/>
    </row>
    <row r="415" spans="2:38" s="930" customFormat="1" ht="20.25" customHeight="1" x14ac:dyDescent="0.2">
      <c r="B415" s="936"/>
      <c r="C415" s="936"/>
      <c r="D415" s="936"/>
      <c r="E415" s="936"/>
      <c r="AH415" s="983"/>
      <c r="AI415" s="983"/>
      <c r="AJ415" s="968"/>
      <c r="AL415" s="937"/>
    </row>
    <row r="416" spans="2:38" s="930" customFormat="1" ht="20.25" customHeight="1" x14ac:dyDescent="0.2">
      <c r="B416" s="936"/>
      <c r="C416" s="936"/>
      <c r="D416" s="936"/>
      <c r="E416" s="936"/>
      <c r="AH416" s="983"/>
      <c r="AI416" s="983"/>
      <c r="AJ416" s="968"/>
      <c r="AL416" s="937"/>
    </row>
    <row r="417" spans="2:38" s="930" customFormat="1" ht="20.25" customHeight="1" x14ac:dyDescent="0.2">
      <c r="B417" s="936"/>
      <c r="C417" s="936"/>
      <c r="D417" s="936"/>
      <c r="E417" s="936"/>
      <c r="AH417" s="983"/>
      <c r="AI417" s="983"/>
      <c r="AJ417" s="968"/>
      <c r="AL417" s="937"/>
    </row>
    <row r="418" spans="2:38" s="930" customFormat="1" ht="20.25" customHeight="1" x14ac:dyDescent="0.2">
      <c r="B418" s="936"/>
      <c r="C418" s="936"/>
      <c r="D418" s="936"/>
      <c r="E418" s="936"/>
      <c r="AH418" s="983"/>
      <c r="AI418" s="983"/>
      <c r="AJ418" s="968"/>
      <c r="AL418" s="937"/>
    </row>
    <row r="419" spans="2:38" s="930" customFormat="1" ht="20.25" customHeight="1" x14ac:dyDescent="0.2">
      <c r="B419" s="936"/>
      <c r="C419" s="936"/>
      <c r="D419" s="936"/>
      <c r="E419" s="936"/>
      <c r="AH419" s="983"/>
      <c r="AI419" s="983"/>
      <c r="AJ419" s="968"/>
      <c r="AL419" s="937"/>
    </row>
    <row r="420" spans="2:38" s="930" customFormat="1" ht="20.25" customHeight="1" x14ac:dyDescent="0.2">
      <c r="B420" s="936"/>
      <c r="C420" s="936"/>
      <c r="D420" s="936"/>
      <c r="E420" s="936"/>
      <c r="AH420" s="983"/>
      <c r="AI420" s="983"/>
      <c r="AJ420" s="968"/>
      <c r="AL420" s="937"/>
    </row>
    <row r="421" spans="2:38" s="930" customFormat="1" ht="20.25" customHeight="1" x14ac:dyDescent="0.2">
      <c r="B421" s="936"/>
      <c r="C421" s="936"/>
      <c r="D421" s="936"/>
      <c r="E421" s="936"/>
      <c r="AH421" s="983"/>
      <c r="AI421" s="983"/>
      <c r="AJ421" s="968"/>
      <c r="AL421" s="937"/>
    </row>
    <row r="422" spans="2:38" s="930" customFormat="1" ht="20.25" customHeight="1" x14ac:dyDescent="0.2">
      <c r="B422" s="936"/>
      <c r="C422" s="936"/>
      <c r="D422" s="936"/>
      <c r="E422" s="936"/>
      <c r="AH422" s="983"/>
      <c r="AI422" s="983"/>
      <c r="AJ422" s="968"/>
      <c r="AL422" s="937"/>
    </row>
    <row r="423" spans="2:38" s="930" customFormat="1" ht="20.25" customHeight="1" x14ac:dyDescent="0.2">
      <c r="B423" s="936"/>
      <c r="C423" s="936"/>
      <c r="D423" s="936"/>
      <c r="E423" s="936"/>
      <c r="AH423" s="983"/>
      <c r="AI423" s="983"/>
      <c r="AJ423" s="968"/>
      <c r="AL423" s="937"/>
    </row>
    <row r="424" spans="2:38" s="930" customFormat="1" ht="20.25" customHeight="1" x14ac:dyDescent="0.2">
      <c r="B424" s="936"/>
      <c r="C424" s="936"/>
      <c r="D424" s="936"/>
      <c r="E424" s="936"/>
      <c r="AH424" s="983"/>
      <c r="AI424" s="983"/>
      <c r="AJ424" s="968"/>
      <c r="AL424" s="937"/>
    </row>
    <row r="425" spans="2:38" s="930" customFormat="1" ht="20.25" customHeight="1" x14ac:dyDescent="0.2">
      <c r="B425" s="936"/>
      <c r="C425" s="936"/>
      <c r="D425" s="936"/>
      <c r="E425" s="936"/>
      <c r="AH425" s="983"/>
      <c r="AI425" s="983"/>
      <c r="AJ425" s="968"/>
      <c r="AL425" s="937"/>
    </row>
    <row r="426" spans="2:38" s="930" customFormat="1" ht="20.25" customHeight="1" x14ac:dyDescent="0.2">
      <c r="B426" s="936"/>
      <c r="C426" s="936"/>
      <c r="D426" s="936"/>
      <c r="E426" s="936"/>
      <c r="AH426" s="983"/>
      <c r="AI426" s="983"/>
      <c r="AJ426" s="968"/>
      <c r="AL426" s="937"/>
    </row>
    <row r="427" spans="2:38" s="930" customFormat="1" ht="20.25" customHeight="1" x14ac:dyDescent="0.2">
      <c r="B427" s="936"/>
      <c r="C427" s="936"/>
      <c r="D427" s="936"/>
      <c r="E427" s="936"/>
      <c r="AH427" s="983"/>
      <c r="AI427" s="983"/>
      <c r="AJ427" s="968"/>
      <c r="AL427" s="937"/>
    </row>
    <row r="428" spans="2:38" s="930" customFormat="1" ht="20.25" customHeight="1" x14ac:dyDescent="0.2">
      <c r="B428" s="936"/>
      <c r="C428" s="936"/>
      <c r="D428" s="936"/>
      <c r="E428" s="936"/>
      <c r="AH428" s="983"/>
      <c r="AI428" s="983"/>
      <c r="AJ428" s="968"/>
      <c r="AL428" s="937"/>
    </row>
    <row r="429" spans="2:38" s="930" customFormat="1" ht="20.25" customHeight="1" x14ac:dyDescent="0.2">
      <c r="B429" s="936"/>
      <c r="C429" s="936"/>
      <c r="D429" s="936"/>
      <c r="E429" s="936"/>
      <c r="AH429" s="983"/>
      <c r="AI429" s="983"/>
      <c r="AJ429" s="968"/>
      <c r="AL429" s="937"/>
    </row>
    <row r="430" spans="2:38" s="930" customFormat="1" ht="20.25" customHeight="1" x14ac:dyDescent="0.2">
      <c r="B430" s="936"/>
      <c r="C430" s="936"/>
      <c r="D430" s="936"/>
      <c r="E430" s="936"/>
      <c r="AH430" s="983"/>
      <c r="AI430" s="983"/>
      <c r="AJ430" s="968"/>
      <c r="AL430" s="937"/>
    </row>
    <row r="431" spans="2:38" s="930" customFormat="1" ht="20.25" customHeight="1" x14ac:dyDescent="0.2">
      <c r="B431" s="936"/>
      <c r="C431" s="936"/>
      <c r="D431" s="936"/>
      <c r="E431" s="936"/>
      <c r="AH431" s="983"/>
      <c r="AI431" s="983"/>
      <c r="AJ431" s="968"/>
      <c r="AL431" s="937"/>
    </row>
    <row r="432" spans="2:38" s="930" customFormat="1" ht="20.25" customHeight="1" x14ac:dyDescent="0.2">
      <c r="B432" s="936"/>
      <c r="C432" s="936"/>
      <c r="D432" s="936"/>
      <c r="E432" s="936"/>
      <c r="AH432" s="983"/>
      <c r="AI432" s="983"/>
      <c r="AJ432" s="968"/>
      <c r="AL432" s="937"/>
    </row>
    <row r="433" spans="2:38" s="930" customFormat="1" ht="20.25" customHeight="1" x14ac:dyDescent="0.2">
      <c r="B433" s="936"/>
      <c r="C433" s="936"/>
      <c r="D433" s="936"/>
      <c r="E433" s="936"/>
      <c r="AH433" s="983"/>
      <c r="AI433" s="983"/>
      <c r="AJ433" s="968"/>
      <c r="AL433" s="937"/>
    </row>
    <row r="434" spans="2:38" s="930" customFormat="1" ht="20.25" customHeight="1" x14ac:dyDescent="0.2">
      <c r="B434" s="936"/>
      <c r="C434" s="936"/>
      <c r="D434" s="936"/>
      <c r="E434" s="936"/>
      <c r="AH434" s="983"/>
      <c r="AI434" s="983"/>
      <c r="AJ434" s="968"/>
      <c r="AL434" s="937"/>
    </row>
    <row r="435" spans="2:38" s="930" customFormat="1" ht="20.25" customHeight="1" x14ac:dyDescent="0.2">
      <c r="B435" s="936"/>
      <c r="C435" s="936"/>
      <c r="D435" s="936"/>
      <c r="E435" s="936"/>
      <c r="AH435" s="983"/>
      <c r="AI435" s="983"/>
      <c r="AJ435" s="968"/>
      <c r="AL435" s="937"/>
    </row>
    <row r="436" spans="2:38" s="930" customFormat="1" ht="20.25" customHeight="1" x14ac:dyDescent="0.2">
      <c r="B436" s="936"/>
      <c r="C436" s="936"/>
      <c r="D436" s="936"/>
      <c r="E436" s="936"/>
      <c r="AH436" s="983"/>
      <c r="AI436" s="983"/>
      <c r="AJ436" s="968"/>
      <c r="AL436" s="937"/>
    </row>
    <row r="437" spans="2:38" s="930" customFormat="1" ht="20.25" customHeight="1" x14ac:dyDescent="0.2">
      <c r="B437" s="936"/>
      <c r="C437" s="936"/>
      <c r="D437" s="936"/>
      <c r="E437" s="936"/>
      <c r="AH437" s="983"/>
      <c r="AI437" s="983"/>
      <c r="AJ437" s="968"/>
      <c r="AL437" s="937"/>
    </row>
    <row r="438" spans="2:38" s="930" customFormat="1" ht="20.25" customHeight="1" x14ac:dyDescent="0.2">
      <c r="B438" s="936"/>
      <c r="C438" s="936"/>
      <c r="D438" s="936"/>
      <c r="E438" s="936"/>
      <c r="AH438" s="983"/>
      <c r="AI438" s="983"/>
      <c r="AJ438" s="968"/>
      <c r="AL438" s="937"/>
    </row>
    <row r="439" spans="2:38" s="930" customFormat="1" ht="20.25" customHeight="1" x14ac:dyDescent="0.2">
      <c r="B439" s="936"/>
      <c r="C439" s="936"/>
      <c r="D439" s="936"/>
      <c r="E439" s="936"/>
      <c r="AH439" s="983"/>
      <c r="AI439" s="983"/>
      <c r="AJ439" s="968"/>
      <c r="AL439" s="937"/>
    </row>
    <row r="440" spans="2:38" s="930" customFormat="1" ht="20.25" customHeight="1" x14ac:dyDescent="0.2">
      <c r="B440" s="936"/>
      <c r="C440" s="936"/>
      <c r="D440" s="936"/>
      <c r="E440" s="936"/>
      <c r="AH440" s="983"/>
      <c r="AI440" s="983"/>
      <c r="AJ440" s="968"/>
      <c r="AL440" s="937"/>
    </row>
    <row r="441" spans="2:38" s="930" customFormat="1" ht="20.25" customHeight="1" x14ac:dyDescent="0.2">
      <c r="B441" s="936"/>
      <c r="C441" s="936"/>
      <c r="D441" s="936"/>
      <c r="E441" s="936"/>
      <c r="AH441" s="983"/>
      <c r="AI441" s="983"/>
      <c r="AJ441" s="968"/>
      <c r="AL441" s="937"/>
    </row>
    <row r="442" spans="2:38" s="930" customFormat="1" ht="20.25" customHeight="1" x14ac:dyDescent="0.2">
      <c r="B442" s="936"/>
      <c r="C442" s="936"/>
      <c r="D442" s="936"/>
      <c r="E442" s="936"/>
      <c r="AH442" s="983"/>
      <c r="AI442" s="983"/>
      <c r="AJ442" s="968"/>
      <c r="AL442" s="937"/>
    </row>
    <row r="443" spans="2:38" s="930" customFormat="1" ht="20.25" customHeight="1" x14ac:dyDescent="0.2">
      <c r="B443" s="936"/>
      <c r="C443" s="936"/>
      <c r="D443" s="936"/>
      <c r="E443" s="936"/>
      <c r="AH443" s="983"/>
      <c r="AI443" s="983"/>
      <c r="AJ443" s="968"/>
      <c r="AL443" s="937"/>
    </row>
    <row r="444" spans="2:38" s="930" customFormat="1" ht="20.25" customHeight="1" x14ac:dyDescent="0.2">
      <c r="B444" s="936"/>
      <c r="C444" s="936"/>
      <c r="D444" s="936"/>
      <c r="E444" s="936"/>
      <c r="AH444" s="983"/>
      <c r="AI444" s="983"/>
      <c r="AJ444" s="968"/>
      <c r="AL444" s="937"/>
    </row>
    <row r="445" spans="2:38" s="930" customFormat="1" ht="20.25" customHeight="1" x14ac:dyDescent="0.2">
      <c r="B445" s="936"/>
      <c r="C445" s="936"/>
      <c r="D445" s="936"/>
      <c r="E445" s="936"/>
      <c r="AH445" s="983"/>
      <c r="AI445" s="983"/>
      <c r="AJ445" s="968"/>
      <c r="AL445" s="937"/>
    </row>
    <row r="446" spans="2:38" s="930" customFormat="1" ht="20.25" customHeight="1" x14ac:dyDescent="0.2">
      <c r="B446" s="936"/>
      <c r="C446" s="936"/>
      <c r="D446" s="936"/>
      <c r="E446" s="936"/>
      <c r="AH446" s="983"/>
      <c r="AI446" s="983"/>
      <c r="AJ446" s="968"/>
      <c r="AL446" s="937"/>
    </row>
    <row r="447" spans="2:38" s="930" customFormat="1" ht="20.25" customHeight="1" x14ac:dyDescent="0.2">
      <c r="B447" s="936"/>
      <c r="C447" s="936"/>
      <c r="D447" s="936"/>
      <c r="E447" s="936"/>
      <c r="AH447" s="983"/>
      <c r="AI447" s="983"/>
      <c r="AJ447" s="968"/>
      <c r="AL447" s="937"/>
    </row>
    <row r="448" spans="2:38" s="930" customFormat="1" ht="20.25" customHeight="1" x14ac:dyDescent="0.2">
      <c r="B448" s="936"/>
      <c r="C448" s="936"/>
      <c r="D448" s="936"/>
      <c r="E448" s="936"/>
      <c r="AH448" s="983"/>
      <c r="AI448" s="983"/>
      <c r="AJ448" s="968"/>
      <c r="AL448" s="937"/>
    </row>
    <row r="449" spans="2:38" s="930" customFormat="1" ht="20.25" customHeight="1" x14ac:dyDescent="0.2">
      <c r="B449" s="936"/>
      <c r="C449" s="936"/>
      <c r="D449" s="936"/>
      <c r="E449" s="936"/>
      <c r="AH449" s="983"/>
      <c r="AI449" s="983"/>
      <c r="AJ449" s="968"/>
      <c r="AL449" s="937"/>
    </row>
    <row r="450" spans="2:38" s="930" customFormat="1" ht="20.25" customHeight="1" x14ac:dyDescent="0.2">
      <c r="B450" s="936"/>
      <c r="C450" s="936"/>
      <c r="D450" s="936"/>
      <c r="E450" s="936"/>
      <c r="AH450" s="983"/>
      <c r="AI450" s="983"/>
      <c r="AJ450" s="968"/>
      <c r="AL450" s="937"/>
    </row>
    <row r="451" spans="2:38" s="930" customFormat="1" ht="20.25" customHeight="1" x14ac:dyDescent="0.2">
      <c r="B451" s="936"/>
      <c r="C451" s="936"/>
      <c r="D451" s="936"/>
      <c r="E451" s="936"/>
      <c r="AH451" s="983"/>
      <c r="AI451" s="983"/>
      <c r="AJ451" s="968"/>
      <c r="AL451" s="937"/>
    </row>
    <row r="452" spans="2:38" s="930" customFormat="1" ht="20.25" customHeight="1" x14ac:dyDescent="0.2">
      <c r="B452" s="936"/>
      <c r="C452" s="936"/>
      <c r="D452" s="936"/>
      <c r="E452" s="936"/>
      <c r="AH452" s="983"/>
      <c r="AI452" s="983"/>
      <c r="AJ452" s="968"/>
      <c r="AL452" s="937"/>
    </row>
    <row r="453" spans="2:38" s="930" customFormat="1" ht="20.25" customHeight="1" x14ac:dyDescent="0.2">
      <c r="B453" s="936"/>
      <c r="C453" s="936"/>
      <c r="D453" s="936"/>
      <c r="E453" s="936"/>
      <c r="AH453" s="983"/>
      <c r="AI453" s="983"/>
      <c r="AJ453" s="968"/>
      <c r="AL453" s="937"/>
    </row>
    <row r="454" spans="2:38" s="930" customFormat="1" ht="20.25" customHeight="1" x14ac:dyDescent="0.2">
      <c r="B454" s="936"/>
      <c r="C454" s="936"/>
      <c r="D454" s="936"/>
      <c r="E454" s="936"/>
      <c r="AH454" s="983"/>
      <c r="AI454" s="983"/>
      <c r="AJ454" s="968"/>
      <c r="AL454" s="937"/>
    </row>
    <row r="455" spans="2:38" s="930" customFormat="1" ht="20.25" customHeight="1" x14ac:dyDescent="0.2">
      <c r="B455" s="936"/>
      <c r="C455" s="936"/>
      <c r="D455" s="936"/>
      <c r="E455" s="936"/>
      <c r="AH455" s="983"/>
      <c r="AI455" s="983"/>
      <c r="AJ455" s="968"/>
      <c r="AL455" s="937"/>
    </row>
    <row r="456" spans="2:38" s="930" customFormat="1" ht="20.25" customHeight="1" x14ac:dyDescent="0.2">
      <c r="B456" s="936"/>
      <c r="C456" s="936"/>
      <c r="D456" s="936"/>
      <c r="E456" s="936"/>
      <c r="AH456" s="983"/>
      <c r="AI456" s="983"/>
      <c r="AJ456" s="968"/>
      <c r="AL456" s="937"/>
    </row>
    <row r="457" spans="2:38" s="930" customFormat="1" ht="20.25" customHeight="1" x14ac:dyDescent="0.2">
      <c r="B457" s="936"/>
      <c r="C457" s="936"/>
      <c r="D457" s="936"/>
      <c r="E457" s="936"/>
      <c r="AH457" s="983"/>
      <c r="AI457" s="983"/>
      <c r="AJ457" s="968"/>
      <c r="AL457" s="937"/>
    </row>
    <row r="458" spans="2:38" s="930" customFormat="1" ht="20.25" customHeight="1" x14ac:dyDescent="0.2">
      <c r="B458" s="936"/>
      <c r="C458" s="936"/>
      <c r="D458" s="936"/>
      <c r="E458" s="936"/>
      <c r="AH458" s="983"/>
      <c r="AI458" s="983"/>
      <c r="AJ458" s="968"/>
      <c r="AL458" s="937"/>
    </row>
    <row r="459" spans="2:38" s="930" customFormat="1" ht="20.25" customHeight="1" x14ac:dyDescent="0.2">
      <c r="B459" s="936"/>
      <c r="C459" s="936"/>
      <c r="D459" s="936"/>
      <c r="E459" s="936"/>
      <c r="AH459" s="983"/>
      <c r="AI459" s="983"/>
      <c r="AJ459" s="968"/>
      <c r="AL459" s="937"/>
    </row>
    <row r="460" spans="2:38" s="930" customFormat="1" ht="20.25" customHeight="1" x14ac:dyDescent="0.2">
      <c r="B460" s="936"/>
      <c r="C460" s="936"/>
      <c r="D460" s="936"/>
      <c r="E460" s="936"/>
      <c r="AH460" s="983"/>
      <c r="AI460" s="983"/>
      <c r="AJ460" s="968"/>
      <c r="AL460" s="937"/>
    </row>
    <row r="461" spans="2:38" s="930" customFormat="1" ht="20.25" customHeight="1" x14ac:dyDescent="0.2">
      <c r="B461" s="936"/>
      <c r="C461" s="936"/>
      <c r="D461" s="936"/>
      <c r="E461" s="936"/>
      <c r="AH461" s="983"/>
      <c r="AI461" s="983"/>
      <c r="AJ461" s="968"/>
      <c r="AL461" s="937"/>
    </row>
    <row r="462" spans="2:38" s="930" customFormat="1" ht="20.25" customHeight="1" x14ac:dyDescent="0.2">
      <c r="B462" s="936"/>
      <c r="C462" s="936"/>
      <c r="D462" s="936"/>
      <c r="E462" s="936"/>
      <c r="AH462" s="983"/>
      <c r="AI462" s="983"/>
      <c r="AJ462" s="968"/>
      <c r="AL462" s="937"/>
    </row>
    <row r="463" spans="2:38" s="930" customFormat="1" ht="20.25" customHeight="1" x14ac:dyDescent="0.2">
      <c r="B463" s="936"/>
      <c r="C463" s="936"/>
      <c r="D463" s="936"/>
      <c r="E463" s="936"/>
      <c r="AH463" s="983"/>
      <c r="AI463" s="983"/>
      <c r="AJ463" s="968"/>
      <c r="AL463" s="937"/>
    </row>
    <row r="464" spans="2:38" s="930" customFormat="1" ht="20.25" customHeight="1" x14ac:dyDescent="0.2">
      <c r="B464" s="936"/>
      <c r="C464" s="936"/>
      <c r="D464" s="936"/>
      <c r="E464" s="936"/>
      <c r="AH464" s="983"/>
      <c r="AI464" s="983"/>
      <c r="AJ464" s="968"/>
      <c r="AL464" s="937"/>
    </row>
    <row r="465" spans="2:38" s="930" customFormat="1" ht="20.25" customHeight="1" x14ac:dyDescent="0.2">
      <c r="B465" s="936"/>
      <c r="C465" s="936"/>
      <c r="D465" s="936"/>
      <c r="E465" s="936"/>
      <c r="AH465" s="983"/>
      <c r="AI465" s="983"/>
      <c r="AJ465" s="968"/>
      <c r="AL465" s="937"/>
    </row>
    <row r="466" spans="2:38" s="930" customFormat="1" ht="20.25" customHeight="1" x14ac:dyDescent="0.2">
      <c r="B466" s="936"/>
      <c r="C466" s="936"/>
      <c r="D466" s="936"/>
      <c r="E466" s="936"/>
      <c r="AH466" s="983"/>
      <c r="AI466" s="983"/>
      <c r="AJ466" s="968"/>
      <c r="AL466" s="937"/>
    </row>
    <row r="467" spans="2:38" s="930" customFormat="1" ht="20.25" customHeight="1" x14ac:dyDescent="0.2">
      <c r="B467" s="936"/>
      <c r="C467" s="936"/>
      <c r="D467" s="936"/>
      <c r="E467" s="936"/>
      <c r="AH467" s="983"/>
      <c r="AI467" s="983"/>
      <c r="AJ467" s="968"/>
      <c r="AL467" s="937"/>
    </row>
    <row r="468" spans="2:38" s="930" customFormat="1" ht="20.25" customHeight="1" x14ac:dyDescent="0.2">
      <c r="B468" s="936"/>
      <c r="C468" s="936"/>
      <c r="D468" s="936"/>
      <c r="E468" s="936"/>
      <c r="AH468" s="983"/>
      <c r="AI468" s="983"/>
      <c r="AJ468" s="968"/>
      <c r="AL468" s="937"/>
    </row>
    <row r="469" spans="2:38" s="930" customFormat="1" ht="20.25" customHeight="1" x14ac:dyDescent="0.2">
      <c r="B469" s="936"/>
      <c r="C469" s="936"/>
      <c r="D469" s="936"/>
      <c r="E469" s="936"/>
      <c r="AH469" s="983"/>
      <c r="AI469" s="983"/>
      <c r="AJ469" s="968"/>
      <c r="AL469" s="937"/>
    </row>
    <row r="470" spans="2:38" s="930" customFormat="1" ht="20.25" customHeight="1" x14ac:dyDescent="0.2">
      <c r="B470" s="936"/>
      <c r="C470" s="936"/>
      <c r="D470" s="936"/>
      <c r="E470" s="936"/>
      <c r="AH470" s="983"/>
      <c r="AI470" s="983"/>
      <c r="AJ470" s="968"/>
      <c r="AL470" s="937"/>
    </row>
    <row r="471" spans="2:38" s="930" customFormat="1" ht="20.25" customHeight="1" x14ac:dyDescent="0.2">
      <c r="B471" s="936"/>
      <c r="C471" s="936"/>
      <c r="D471" s="936"/>
      <c r="E471" s="936"/>
      <c r="AH471" s="983"/>
      <c r="AI471" s="983"/>
      <c r="AJ471" s="968"/>
      <c r="AL471" s="937"/>
    </row>
    <row r="472" spans="2:38" s="930" customFormat="1" ht="20.25" customHeight="1" x14ac:dyDescent="0.2">
      <c r="B472" s="936"/>
      <c r="C472" s="936"/>
      <c r="D472" s="936"/>
      <c r="E472" s="936"/>
      <c r="AH472" s="983"/>
      <c r="AI472" s="983"/>
      <c r="AJ472" s="968"/>
      <c r="AL472" s="937"/>
    </row>
    <row r="473" spans="2:38" s="930" customFormat="1" ht="20.25" customHeight="1" x14ac:dyDescent="0.2">
      <c r="B473" s="936"/>
      <c r="C473" s="936"/>
      <c r="D473" s="936"/>
      <c r="E473" s="936"/>
      <c r="AH473" s="983"/>
      <c r="AI473" s="983"/>
      <c r="AJ473" s="968"/>
      <c r="AL473" s="937"/>
    </row>
    <row r="474" spans="2:38" s="930" customFormat="1" ht="20.25" customHeight="1" x14ac:dyDescent="0.2">
      <c r="B474" s="936"/>
      <c r="C474" s="936"/>
      <c r="D474" s="936"/>
      <c r="E474" s="936"/>
      <c r="AH474" s="983"/>
      <c r="AI474" s="983"/>
      <c r="AJ474" s="968"/>
      <c r="AL474" s="937"/>
    </row>
    <row r="475" spans="2:38" s="930" customFormat="1" ht="20.25" customHeight="1" x14ac:dyDescent="0.2">
      <c r="B475" s="936"/>
      <c r="C475" s="936"/>
      <c r="D475" s="936"/>
      <c r="E475" s="936"/>
      <c r="AH475" s="983"/>
      <c r="AI475" s="983"/>
      <c r="AJ475" s="968"/>
      <c r="AL475" s="937"/>
    </row>
    <row r="476" spans="2:38" s="930" customFormat="1" ht="20.25" customHeight="1" x14ac:dyDescent="0.2">
      <c r="B476" s="936"/>
      <c r="C476" s="936"/>
      <c r="D476" s="936"/>
      <c r="E476" s="936"/>
      <c r="AH476" s="983"/>
      <c r="AI476" s="983"/>
      <c r="AJ476" s="968"/>
      <c r="AL476" s="937"/>
    </row>
    <row r="477" spans="2:38" s="930" customFormat="1" ht="20.25" customHeight="1" x14ac:dyDescent="0.2">
      <c r="B477" s="936"/>
      <c r="C477" s="936"/>
      <c r="D477" s="936"/>
      <c r="E477" s="936"/>
      <c r="AH477" s="983"/>
      <c r="AI477" s="983"/>
      <c r="AJ477" s="968"/>
      <c r="AL477" s="937"/>
    </row>
    <row r="478" spans="2:38" s="930" customFormat="1" ht="20.25" customHeight="1" x14ac:dyDescent="0.2">
      <c r="B478" s="936"/>
      <c r="C478" s="936"/>
      <c r="D478" s="936"/>
      <c r="E478" s="936"/>
      <c r="AH478" s="983"/>
      <c r="AI478" s="983"/>
      <c r="AJ478" s="968"/>
      <c r="AL478" s="937"/>
    </row>
    <row r="479" spans="2:38" s="930" customFormat="1" ht="20.25" customHeight="1" x14ac:dyDescent="0.2">
      <c r="B479" s="936"/>
      <c r="C479" s="936"/>
      <c r="D479" s="936"/>
      <c r="E479" s="936"/>
      <c r="AH479" s="983"/>
      <c r="AI479" s="983"/>
      <c r="AJ479" s="968"/>
      <c r="AL479" s="937"/>
    </row>
    <row r="480" spans="2:38" s="930" customFormat="1" ht="20.25" customHeight="1" x14ac:dyDescent="0.2">
      <c r="B480" s="936"/>
      <c r="C480" s="936"/>
      <c r="D480" s="936"/>
      <c r="E480" s="936"/>
      <c r="AH480" s="983"/>
      <c r="AI480" s="983"/>
      <c r="AJ480" s="968"/>
      <c r="AL480" s="937"/>
    </row>
    <row r="481" spans="2:38" s="930" customFormat="1" ht="20.25" customHeight="1" x14ac:dyDescent="0.2">
      <c r="B481" s="936"/>
      <c r="C481" s="936"/>
      <c r="D481" s="936"/>
      <c r="E481" s="936"/>
      <c r="AH481" s="983"/>
      <c r="AI481" s="983"/>
      <c r="AJ481" s="968"/>
      <c r="AL481" s="937"/>
    </row>
    <row r="482" spans="2:38" s="930" customFormat="1" ht="20.25" customHeight="1" x14ac:dyDescent="0.2">
      <c r="B482" s="936"/>
      <c r="C482" s="936"/>
      <c r="D482" s="936"/>
      <c r="E482" s="936"/>
      <c r="AH482" s="983"/>
      <c r="AI482" s="983"/>
      <c r="AJ482" s="968"/>
      <c r="AL482" s="937"/>
    </row>
    <row r="483" spans="2:38" s="930" customFormat="1" ht="20.25" customHeight="1" x14ac:dyDescent="0.2">
      <c r="B483" s="936"/>
      <c r="C483" s="936"/>
      <c r="D483" s="936"/>
      <c r="E483" s="936"/>
      <c r="AH483" s="983"/>
      <c r="AI483" s="983"/>
      <c r="AJ483" s="968"/>
      <c r="AL483" s="937"/>
    </row>
    <row r="484" spans="2:38" s="930" customFormat="1" ht="20.25" customHeight="1" x14ac:dyDescent="0.2">
      <c r="B484" s="936"/>
      <c r="C484" s="936"/>
      <c r="D484" s="936"/>
      <c r="E484" s="936"/>
      <c r="AH484" s="983"/>
      <c r="AI484" s="983"/>
      <c r="AJ484" s="968"/>
      <c r="AL484" s="937"/>
    </row>
    <row r="485" spans="2:38" s="930" customFormat="1" ht="20.25" customHeight="1" x14ac:dyDescent="0.2">
      <c r="B485" s="936"/>
      <c r="C485" s="936"/>
      <c r="D485" s="936"/>
      <c r="E485" s="936"/>
      <c r="AH485" s="983"/>
      <c r="AI485" s="983"/>
      <c r="AJ485" s="968"/>
      <c r="AL485" s="937"/>
    </row>
    <row r="486" spans="2:38" s="930" customFormat="1" ht="20.25" customHeight="1" x14ac:dyDescent="0.2">
      <c r="B486" s="936"/>
      <c r="C486" s="936"/>
      <c r="D486" s="936"/>
      <c r="E486" s="936"/>
      <c r="AH486" s="983"/>
      <c r="AI486" s="983"/>
      <c r="AJ486" s="968"/>
      <c r="AL486" s="937"/>
    </row>
    <row r="487" spans="2:38" s="930" customFormat="1" ht="20.25" customHeight="1" x14ac:dyDescent="0.2">
      <c r="B487" s="936"/>
      <c r="C487" s="936"/>
      <c r="D487" s="936"/>
      <c r="E487" s="936"/>
      <c r="AH487" s="983"/>
      <c r="AI487" s="983"/>
      <c r="AJ487" s="968"/>
      <c r="AL487" s="937"/>
    </row>
    <row r="488" spans="2:38" s="930" customFormat="1" ht="20.25" customHeight="1" x14ac:dyDescent="0.2">
      <c r="B488" s="936"/>
      <c r="C488" s="936"/>
      <c r="D488" s="936"/>
      <c r="E488" s="936"/>
      <c r="AH488" s="983"/>
      <c r="AI488" s="983"/>
      <c r="AJ488" s="968"/>
      <c r="AL488" s="937"/>
    </row>
    <row r="489" spans="2:38" s="930" customFormat="1" ht="20.25" customHeight="1" x14ac:dyDescent="0.2">
      <c r="B489" s="936"/>
      <c r="C489" s="936"/>
      <c r="D489" s="936"/>
      <c r="E489" s="936"/>
      <c r="AH489" s="983"/>
      <c r="AI489" s="983"/>
      <c r="AJ489" s="968"/>
      <c r="AL489" s="937"/>
    </row>
    <row r="490" spans="2:38" s="930" customFormat="1" ht="20.25" customHeight="1" x14ac:dyDescent="0.2">
      <c r="B490" s="936"/>
      <c r="C490" s="936"/>
      <c r="D490" s="936"/>
      <c r="E490" s="936"/>
      <c r="AH490" s="983"/>
      <c r="AI490" s="983"/>
      <c r="AJ490" s="968"/>
      <c r="AL490" s="937"/>
    </row>
    <row r="491" spans="2:38" s="930" customFormat="1" ht="20.25" customHeight="1" x14ac:dyDescent="0.2">
      <c r="B491" s="936"/>
      <c r="C491" s="936"/>
      <c r="D491" s="936"/>
      <c r="E491" s="936"/>
      <c r="AH491" s="983"/>
      <c r="AI491" s="983"/>
      <c r="AJ491" s="968"/>
      <c r="AL491" s="937"/>
    </row>
    <row r="492" spans="2:38" s="930" customFormat="1" ht="20.25" customHeight="1" x14ac:dyDescent="0.2">
      <c r="B492" s="936"/>
      <c r="C492" s="936"/>
      <c r="D492" s="936"/>
      <c r="E492" s="936"/>
      <c r="AH492" s="983"/>
      <c r="AI492" s="983"/>
      <c r="AJ492" s="968"/>
      <c r="AL492" s="937"/>
    </row>
    <row r="493" spans="2:38" s="930" customFormat="1" ht="20.25" customHeight="1" x14ac:dyDescent="0.2">
      <c r="B493" s="936"/>
      <c r="C493" s="936"/>
      <c r="D493" s="936"/>
      <c r="E493" s="936"/>
      <c r="AH493" s="983"/>
      <c r="AI493" s="983"/>
      <c r="AJ493" s="968"/>
      <c r="AL493" s="937"/>
    </row>
    <row r="494" spans="2:38" s="930" customFormat="1" ht="20.25" customHeight="1" x14ac:dyDescent="0.2">
      <c r="B494" s="936"/>
      <c r="C494" s="936"/>
      <c r="D494" s="936"/>
      <c r="E494" s="936"/>
      <c r="AH494" s="983"/>
      <c r="AI494" s="983"/>
      <c r="AJ494" s="968"/>
      <c r="AL494" s="937"/>
    </row>
    <row r="495" spans="2:38" s="930" customFormat="1" ht="20.25" customHeight="1" x14ac:dyDescent="0.2">
      <c r="B495" s="936"/>
      <c r="C495" s="936"/>
      <c r="D495" s="936"/>
      <c r="E495" s="936"/>
      <c r="AH495" s="983"/>
      <c r="AI495" s="983"/>
      <c r="AJ495" s="968"/>
      <c r="AL495" s="937"/>
    </row>
    <row r="496" spans="2:38" s="930" customFormat="1" ht="20.25" customHeight="1" x14ac:dyDescent="0.2">
      <c r="B496" s="936"/>
      <c r="C496" s="936"/>
      <c r="D496" s="936"/>
      <c r="E496" s="936"/>
      <c r="AH496" s="983"/>
      <c r="AI496" s="983"/>
      <c r="AJ496" s="968"/>
      <c r="AL496" s="937"/>
    </row>
    <row r="497" spans="2:38" s="930" customFormat="1" ht="20.25" customHeight="1" x14ac:dyDescent="0.2">
      <c r="B497" s="936"/>
      <c r="C497" s="936"/>
      <c r="D497" s="936"/>
      <c r="E497" s="936"/>
      <c r="AH497" s="983"/>
      <c r="AI497" s="983"/>
      <c r="AJ497" s="968"/>
      <c r="AL497" s="937"/>
    </row>
    <row r="498" spans="2:38" s="930" customFormat="1" ht="20.25" customHeight="1" x14ac:dyDescent="0.2">
      <c r="B498" s="936"/>
      <c r="C498" s="936"/>
      <c r="D498" s="936"/>
      <c r="E498" s="936"/>
      <c r="AH498" s="983"/>
      <c r="AI498" s="983"/>
      <c r="AJ498" s="968"/>
      <c r="AL498" s="937"/>
    </row>
    <row r="499" spans="2:38" s="930" customFormat="1" ht="20.25" customHeight="1" x14ac:dyDescent="0.2">
      <c r="B499" s="936"/>
      <c r="C499" s="936"/>
      <c r="D499" s="936"/>
      <c r="E499" s="936"/>
      <c r="AH499" s="983"/>
      <c r="AI499" s="983"/>
      <c r="AJ499" s="968"/>
      <c r="AL499" s="937"/>
    </row>
    <row r="500" spans="2:38" s="930" customFormat="1" ht="20.25" customHeight="1" x14ac:dyDescent="0.2">
      <c r="B500" s="936"/>
      <c r="C500" s="936"/>
      <c r="D500" s="936"/>
      <c r="E500" s="936"/>
      <c r="AH500" s="983"/>
      <c r="AI500" s="983"/>
      <c r="AJ500" s="968"/>
      <c r="AL500" s="937"/>
    </row>
    <row r="501" spans="2:38" s="930" customFormat="1" ht="20.25" customHeight="1" x14ac:dyDescent="0.2">
      <c r="B501" s="936"/>
      <c r="C501" s="936"/>
      <c r="D501" s="936"/>
      <c r="E501" s="936"/>
      <c r="AH501" s="983"/>
      <c r="AI501" s="983"/>
      <c r="AJ501" s="968"/>
      <c r="AL501" s="937"/>
    </row>
    <row r="502" spans="2:38" s="930" customFormat="1" ht="20.25" customHeight="1" x14ac:dyDescent="0.2">
      <c r="B502" s="936"/>
      <c r="C502" s="936"/>
      <c r="D502" s="936"/>
      <c r="E502" s="936"/>
      <c r="AH502" s="983"/>
      <c r="AI502" s="983"/>
      <c r="AJ502" s="968"/>
      <c r="AL502" s="937"/>
    </row>
    <row r="503" spans="2:38" s="930" customFormat="1" ht="20.25" customHeight="1" x14ac:dyDescent="0.2">
      <c r="B503" s="936"/>
      <c r="C503" s="936"/>
      <c r="D503" s="936"/>
      <c r="E503" s="936"/>
      <c r="AH503" s="983"/>
      <c r="AI503" s="983"/>
      <c r="AJ503" s="968"/>
      <c r="AL503" s="937"/>
    </row>
    <row r="504" spans="2:38" s="930" customFormat="1" ht="20.25" customHeight="1" x14ac:dyDescent="0.2">
      <c r="B504" s="936"/>
      <c r="C504" s="936"/>
      <c r="D504" s="936"/>
      <c r="E504" s="936"/>
      <c r="AH504" s="983"/>
      <c r="AI504" s="983"/>
      <c r="AJ504" s="968"/>
      <c r="AL504" s="937"/>
    </row>
    <row r="505" spans="2:38" s="930" customFormat="1" ht="20.25" customHeight="1" x14ac:dyDescent="0.2">
      <c r="B505" s="936"/>
      <c r="C505" s="936"/>
      <c r="D505" s="936"/>
      <c r="E505" s="936"/>
      <c r="AH505" s="983"/>
      <c r="AI505" s="983"/>
      <c r="AJ505" s="968"/>
      <c r="AL505" s="937"/>
    </row>
    <row r="506" spans="2:38" s="930" customFormat="1" ht="20.25" customHeight="1" x14ac:dyDescent="0.2">
      <c r="B506" s="936"/>
      <c r="C506" s="936"/>
      <c r="D506" s="936"/>
      <c r="E506" s="936"/>
      <c r="AH506" s="983"/>
      <c r="AI506" s="983"/>
      <c r="AJ506" s="968"/>
      <c r="AL506" s="937"/>
    </row>
    <row r="507" spans="2:38" s="930" customFormat="1" ht="20.25" customHeight="1" x14ac:dyDescent="0.2">
      <c r="B507" s="936"/>
      <c r="C507" s="936"/>
      <c r="D507" s="936"/>
      <c r="E507" s="936"/>
      <c r="AH507" s="983"/>
      <c r="AI507" s="983"/>
      <c r="AJ507" s="968"/>
      <c r="AL507" s="937"/>
    </row>
    <row r="508" spans="2:38" s="930" customFormat="1" ht="20.25" customHeight="1" x14ac:dyDescent="0.2">
      <c r="B508" s="936"/>
      <c r="C508" s="936"/>
      <c r="D508" s="936"/>
      <c r="E508" s="936"/>
      <c r="AH508" s="983"/>
      <c r="AI508" s="983"/>
      <c r="AJ508" s="968"/>
      <c r="AL508" s="937"/>
    </row>
    <row r="509" spans="2:38" s="930" customFormat="1" ht="20.25" customHeight="1" x14ac:dyDescent="0.2">
      <c r="B509" s="936"/>
      <c r="C509" s="936"/>
      <c r="D509" s="936"/>
      <c r="E509" s="936"/>
      <c r="AH509" s="983"/>
      <c r="AI509" s="983"/>
      <c r="AJ509" s="968"/>
      <c r="AL509" s="937"/>
    </row>
    <row r="510" spans="2:38" s="930" customFormat="1" ht="20.25" customHeight="1" x14ac:dyDescent="0.2">
      <c r="B510" s="936"/>
      <c r="C510" s="936"/>
      <c r="D510" s="936"/>
      <c r="E510" s="936"/>
      <c r="AH510" s="983"/>
      <c r="AI510" s="983"/>
      <c r="AJ510" s="968"/>
      <c r="AL510" s="937"/>
    </row>
    <row r="511" spans="2:38" s="930" customFormat="1" ht="20.25" customHeight="1" x14ac:dyDescent="0.2">
      <c r="B511" s="936"/>
      <c r="C511" s="936"/>
      <c r="D511" s="936"/>
      <c r="E511" s="936"/>
      <c r="AH511" s="983"/>
      <c r="AI511" s="983"/>
      <c r="AJ511" s="968"/>
      <c r="AL511" s="937"/>
    </row>
    <row r="512" spans="2:38" s="930" customFormat="1" ht="20.25" customHeight="1" x14ac:dyDescent="0.2">
      <c r="B512" s="936"/>
      <c r="C512" s="936"/>
      <c r="D512" s="936"/>
      <c r="E512" s="936"/>
      <c r="AH512" s="983"/>
      <c r="AI512" s="983"/>
      <c r="AJ512" s="968"/>
      <c r="AL512" s="937"/>
    </row>
    <row r="513" spans="2:38" s="930" customFormat="1" ht="20.25" customHeight="1" x14ac:dyDescent="0.2">
      <c r="B513" s="936"/>
      <c r="C513" s="936"/>
      <c r="D513" s="936"/>
      <c r="E513" s="936"/>
      <c r="AH513" s="983"/>
      <c r="AI513" s="983"/>
      <c r="AJ513" s="968"/>
      <c r="AL513" s="937"/>
    </row>
    <row r="514" spans="2:38" s="930" customFormat="1" ht="20.25" customHeight="1" x14ac:dyDescent="0.2">
      <c r="B514" s="936"/>
      <c r="C514" s="936"/>
      <c r="D514" s="936"/>
      <c r="E514" s="936"/>
      <c r="AH514" s="983"/>
      <c r="AI514" s="983"/>
      <c r="AJ514" s="968"/>
      <c r="AL514" s="937"/>
    </row>
    <row r="515" spans="2:38" s="930" customFormat="1" ht="20.25" customHeight="1" x14ac:dyDescent="0.2">
      <c r="B515" s="936"/>
      <c r="C515" s="936"/>
      <c r="D515" s="936"/>
      <c r="E515" s="936"/>
      <c r="AH515" s="983"/>
      <c r="AI515" s="983"/>
      <c r="AJ515" s="968"/>
      <c r="AL515" s="937"/>
    </row>
    <row r="516" spans="2:38" s="930" customFormat="1" ht="20.25" customHeight="1" x14ac:dyDescent="0.2">
      <c r="B516" s="936"/>
      <c r="C516" s="936"/>
      <c r="D516" s="936"/>
      <c r="E516" s="936"/>
      <c r="AH516" s="983"/>
      <c r="AI516" s="983"/>
      <c r="AJ516" s="968"/>
      <c r="AL516" s="937"/>
    </row>
    <row r="517" spans="2:38" s="930" customFormat="1" ht="20.25" customHeight="1" x14ac:dyDescent="0.2">
      <c r="B517" s="936"/>
      <c r="C517" s="936"/>
      <c r="D517" s="936"/>
      <c r="E517" s="936"/>
      <c r="AH517" s="983"/>
      <c r="AI517" s="983"/>
      <c r="AJ517" s="968"/>
      <c r="AL517" s="937"/>
    </row>
    <row r="518" spans="2:38" s="930" customFormat="1" ht="20.25" customHeight="1" x14ac:dyDescent="0.2">
      <c r="B518" s="936"/>
      <c r="C518" s="936"/>
      <c r="D518" s="936"/>
      <c r="E518" s="936"/>
      <c r="AH518" s="983"/>
      <c r="AI518" s="983"/>
      <c r="AJ518" s="968"/>
      <c r="AL518" s="937"/>
    </row>
    <row r="519" spans="2:38" s="930" customFormat="1" ht="20.25" customHeight="1" x14ac:dyDescent="0.2">
      <c r="B519" s="936"/>
      <c r="C519" s="936"/>
      <c r="D519" s="936"/>
      <c r="E519" s="936"/>
      <c r="AH519" s="983"/>
      <c r="AI519" s="983"/>
      <c r="AJ519" s="968"/>
      <c r="AL519" s="937"/>
    </row>
    <row r="520" spans="2:38" s="930" customFormat="1" ht="20.25" customHeight="1" x14ac:dyDescent="0.2">
      <c r="B520" s="936"/>
      <c r="C520" s="936"/>
      <c r="D520" s="936"/>
      <c r="E520" s="936"/>
      <c r="AH520" s="983"/>
      <c r="AI520" s="983"/>
      <c r="AJ520" s="968"/>
      <c r="AL520" s="937"/>
    </row>
    <row r="521" spans="2:38" s="930" customFormat="1" ht="20.25" customHeight="1" x14ac:dyDescent="0.2">
      <c r="B521" s="936"/>
      <c r="C521" s="936"/>
      <c r="D521" s="936"/>
      <c r="E521" s="936"/>
      <c r="AH521" s="983"/>
      <c r="AI521" s="983"/>
      <c r="AJ521" s="968"/>
      <c r="AL521" s="937"/>
    </row>
    <row r="522" spans="2:38" s="930" customFormat="1" ht="20.25" customHeight="1" x14ac:dyDescent="0.2">
      <c r="B522" s="936"/>
      <c r="C522" s="936"/>
      <c r="D522" s="936"/>
      <c r="E522" s="936"/>
      <c r="AH522" s="983"/>
      <c r="AI522" s="983"/>
      <c r="AJ522" s="968"/>
      <c r="AL522" s="937"/>
    </row>
    <row r="523" spans="2:38" s="930" customFormat="1" ht="20.25" customHeight="1" x14ac:dyDescent="0.2">
      <c r="B523" s="936"/>
      <c r="C523" s="936"/>
      <c r="D523" s="936"/>
      <c r="E523" s="936"/>
      <c r="AH523" s="983"/>
      <c r="AI523" s="983"/>
      <c r="AJ523" s="968"/>
      <c r="AL523" s="937"/>
    </row>
    <row r="524" spans="2:38" s="930" customFormat="1" ht="20.25" customHeight="1" x14ac:dyDescent="0.2">
      <c r="B524" s="936"/>
      <c r="C524" s="936"/>
      <c r="D524" s="936"/>
      <c r="E524" s="936"/>
      <c r="AH524" s="983"/>
      <c r="AI524" s="983"/>
      <c r="AJ524" s="968"/>
      <c r="AL524" s="937"/>
    </row>
    <row r="525" spans="2:38" s="930" customFormat="1" ht="20.25" customHeight="1" x14ac:dyDescent="0.2">
      <c r="B525" s="936"/>
      <c r="C525" s="936"/>
      <c r="D525" s="936"/>
      <c r="E525" s="936"/>
      <c r="AH525" s="983"/>
      <c r="AI525" s="983"/>
      <c r="AJ525" s="968"/>
      <c r="AL525" s="937"/>
    </row>
    <row r="526" spans="2:38" s="930" customFormat="1" ht="20.25" customHeight="1" x14ac:dyDescent="0.2">
      <c r="B526" s="936"/>
      <c r="C526" s="936"/>
      <c r="D526" s="936"/>
      <c r="E526" s="936"/>
      <c r="AH526" s="983"/>
      <c r="AI526" s="983"/>
      <c r="AJ526" s="968"/>
      <c r="AL526" s="937"/>
    </row>
    <row r="527" spans="2:38" s="930" customFormat="1" ht="20.25" customHeight="1" x14ac:dyDescent="0.2">
      <c r="B527" s="936"/>
      <c r="C527" s="936"/>
      <c r="D527" s="936"/>
      <c r="E527" s="936"/>
      <c r="AH527" s="983"/>
      <c r="AI527" s="983"/>
      <c r="AJ527" s="968"/>
      <c r="AL527" s="937"/>
    </row>
    <row r="528" spans="2:38" s="930" customFormat="1" ht="20.25" customHeight="1" x14ac:dyDescent="0.2">
      <c r="B528" s="936"/>
      <c r="C528" s="936"/>
      <c r="D528" s="936"/>
      <c r="E528" s="936"/>
      <c r="AH528" s="983"/>
      <c r="AI528" s="983"/>
      <c r="AJ528" s="968"/>
      <c r="AL528" s="937"/>
    </row>
    <row r="529" spans="2:38" s="930" customFormat="1" ht="20.25" customHeight="1" x14ac:dyDescent="0.2">
      <c r="B529" s="936"/>
      <c r="C529" s="936"/>
      <c r="D529" s="936"/>
      <c r="E529" s="936"/>
      <c r="AH529" s="983"/>
      <c r="AI529" s="983"/>
      <c r="AJ529" s="968"/>
      <c r="AL529" s="937"/>
    </row>
    <row r="530" spans="2:38" s="930" customFormat="1" ht="20.25" customHeight="1" x14ac:dyDescent="0.2">
      <c r="B530" s="936"/>
      <c r="C530" s="936"/>
      <c r="D530" s="936"/>
      <c r="E530" s="936"/>
      <c r="AH530" s="983"/>
      <c r="AI530" s="983"/>
      <c r="AJ530" s="968"/>
      <c r="AL530" s="937"/>
    </row>
    <row r="531" spans="2:38" s="930" customFormat="1" ht="20.25" customHeight="1" x14ac:dyDescent="0.2">
      <c r="B531" s="936"/>
      <c r="C531" s="936"/>
      <c r="D531" s="936"/>
      <c r="E531" s="936"/>
      <c r="AH531" s="983"/>
      <c r="AI531" s="983"/>
      <c r="AJ531" s="968"/>
      <c r="AL531" s="937"/>
    </row>
    <row r="532" spans="2:38" s="930" customFormat="1" ht="20.25" customHeight="1" x14ac:dyDescent="0.2">
      <c r="B532" s="936"/>
      <c r="C532" s="936"/>
      <c r="D532" s="936"/>
      <c r="E532" s="936"/>
      <c r="AH532" s="983"/>
      <c r="AI532" s="983"/>
      <c r="AJ532" s="968"/>
      <c r="AL532" s="937"/>
    </row>
    <row r="533" spans="2:38" s="930" customFormat="1" ht="20.25" customHeight="1" x14ac:dyDescent="0.2">
      <c r="B533" s="936"/>
      <c r="C533" s="936"/>
      <c r="D533" s="936"/>
      <c r="E533" s="936"/>
      <c r="AH533" s="983"/>
      <c r="AI533" s="983"/>
      <c r="AJ533" s="968"/>
      <c r="AL533" s="937"/>
    </row>
    <row r="534" spans="2:38" s="930" customFormat="1" ht="20.25" customHeight="1" x14ac:dyDescent="0.2">
      <c r="B534" s="936"/>
      <c r="C534" s="936"/>
      <c r="D534" s="936"/>
      <c r="E534" s="936"/>
      <c r="AH534" s="983"/>
      <c r="AI534" s="983"/>
      <c r="AJ534" s="968"/>
      <c r="AL534" s="937"/>
    </row>
    <row r="535" spans="2:38" s="930" customFormat="1" ht="20.25" customHeight="1" x14ac:dyDescent="0.2">
      <c r="B535" s="936"/>
      <c r="C535" s="936"/>
      <c r="D535" s="936"/>
      <c r="E535" s="936"/>
      <c r="AH535" s="983"/>
      <c r="AI535" s="983"/>
      <c r="AJ535" s="968"/>
      <c r="AL535" s="937"/>
    </row>
    <row r="536" spans="2:38" s="930" customFormat="1" ht="20.25" customHeight="1" x14ac:dyDescent="0.2">
      <c r="B536" s="936"/>
      <c r="C536" s="936"/>
      <c r="D536" s="936"/>
      <c r="E536" s="936"/>
      <c r="AH536" s="983"/>
      <c r="AI536" s="983"/>
      <c r="AJ536" s="968"/>
      <c r="AL536" s="937"/>
    </row>
    <row r="537" spans="2:38" s="930" customFormat="1" ht="20.25" customHeight="1" x14ac:dyDescent="0.2">
      <c r="B537" s="936"/>
      <c r="C537" s="936"/>
      <c r="D537" s="936"/>
      <c r="E537" s="936"/>
      <c r="AH537" s="983"/>
      <c r="AI537" s="983"/>
      <c r="AJ537" s="968"/>
      <c r="AL537" s="937"/>
    </row>
    <row r="538" spans="2:38" s="930" customFormat="1" ht="20.25" customHeight="1" x14ac:dyDescent="0.2">
      <c r="B538" s="936"/>
      <c r="C538" s="936"/>
      <c r="D538" s="936"/>
      <c r="E538" s="936"/>
      <c r="AH538" s="983"/>
      <c r="AI538" s="983"/>
      <c r="AJ538" s="968"/>
      <c r="AL538" s="937"/>
    </row>
    <row r="539" spans="2:38" s="930" customFormat="1" ht="20.25" customHeight="1" x14ac:dyDescent="0.2">
      <c r="B539" s="936"/>
      <c r="C539" s="936"/>
      <c r="D539" s="936"/>
      <c r="E539" s="936"/>
      <c r="AH539" s="983"/>
      <c r="AI539" s="983"/>
      <c r="AJ539" s="968"/>
      <c r="AL539" s="937"/>
    </row>
    <row r="540" spans="2:38" s="930" customFormat="1" ht="20.25" customHeight="1" x14ac:dyDescent="0.2">
      <c r="B540" s="936"/>
      <c r="C540" s="936"/>
      <c r="D540" s="936"/>
      <c r="E540" s="936"/>
      <c r="AH540" s="983"/>
      <c r="AI540" s="983"/>
      <c r="AJ540" s="968"/>
      <c r="AL540" s="937"/>
    </row>
    <row r="541" spans="2:38" s="930" customFormat="1" ht="20.25" customHeight="1" x14ac:dyDescent="0.2">
      <c r="B541" s="936"/>
      <c r="C541" s="936"/>
      <c r="D541" s="936"/>
      <c r="E541" s="936"/>
      <c r="AH541" s="983"/>
      <c r="AI541" s="983"/>
      <c r="AJ541" s="968"/>
      <c r="AL541" s="937"/>
    </row>
    <row r="542" spans="2:38" s="930" customFormat="1" ht="20.25" customHeight="1" x14ac:dyDescent="0.2">
      <c r="B542" s="936"/>
      <c r="C542" s="936"/>
      <c r="D542" s="936"/>
      <c r="E542" s="936"/>
      <c r="AH542" s="983"/>
      <c r="AI542" s="983"/>
      <c r="AJ542" s="968"/>
      <c r="AL542" s="937"/>
    </row>
    <row r="543" spans="2:38" s="930" customFormat="1" ht="20.25" customHeight="1" x14ac:dyDescent="0.2">
      <c r="B543" s="936"/>
      <c r="C543" s="936"/>
      <c r="D543" s="936"/>
      <c r="E543" s="936"/>
      <c r="AH543" s="983"/>
      <c r="AI543" s="983"/>
      <c r="AJ543" s="968"/>
      <c r="AL543" s="937"/>
    </row>
    <row r="544" spans="2:38" s="930" customFormat="1" ht="20.25" customHeight="1" x14ac:dyDescent="0.2">
      <c r="B544" s="936"/>
      <c r="C544" s="936"/>
      <c r="D544" s="936"/>
      <c r="E544" s="936"/>
      <c r="AH544" s="983"/>
      <c r="AI544" s="983"/>
      <c r="AJ544" s="968"/>
      <c r="AL544" s="937"/>
    </row>
    <row r="545" spans="2:38" s="930" customFormat="1" ht="20.25" customHeight="1" x14ac:dyDescent="0.2">
      <c r="B545" s="936"/>
      <c r="C545" s="936"/>
      <c r="D545" s="936"/>
      <c r="E545" s="936"/>
      <c r="AH545" s="983"/>
      <c r="AI545" s="983"/>
      <c r="AJ545" s="968"/>
      <c r="AL545" s="937"/>
    </row>
    <row r="546" spans="2:38" s="930" customFormat="1" ht="20.25" customHeight="1" x14ac:dyDescent="0.2">
      <c r="B546" s="936"/>
      <c r="C546" s="936"/>
      <c r="D546" s="936"/>
      <c r="E546" s="936"/>
      <c r="AH546" s="983"/>
      <c r="AI546" s="983"/>
      <c r="AJ546" s="968"/>
      <c r="AL546" s="937"/>
    </row>
    <row r="547" spans="2:38" s="930" customFormat="1" ht="20.25" customHeight="1" x14ac:dyDescent="0.2">
      <c r="B547" s="936"/>
      <c r="C547" s="936"/>
      <c r="D547" s="936"/>
      <c r="E547" s="936"/>
      <c r="AH547" s="983"/>
      <c r="AI547" s="983"/>
      <c r="AJ547" s="968"/>
      <c r="AL547" s="937"/>
    </row>
    <row r="548" spans="2:38" s="930" customFormat="1" ht="20.25" customHeight="1" x14ac:dyDescent="0.2">
      <c r="B548" s="936"/>
      <c r="C548" s="936"/>
      <c r="D548" s="936"/>
      <c r="E548" s="936"/>
      <c r="AH548" s="983"/>
      <c r="AI548" s="983"/>
      <c r="AJ548" s="968"/>
      <c r="AL548" s="937"/>
    </row>
    <row r="549" spans="2:38" s="930" customFormat="1" ht="20.25" customHeight="1" x14ac:dyDescent="0.2">
      <c r="B549" s="936"/>
      <c r="C549" s="936"/>
      <c r="D549" s="936"/>
      <c r="E549" s="936"/>
      <c r="AH549" s="983"/>
      <c r="AI549" s="983"/>
      <c r="AJ549" s="968"/>
      <c r="AL549" s="937"/>
    </row>
    <row r="550" spans="2:38" s="930" customFormat="1" ht="20.25" customHeight="1" x14ac:dyDescent="0.2">
      <c r="B550" s="936"/>
      <c r="C550" s="936"/>
      <c r="D550" s="936"/>
      <c r="E550" s="936"/>
      <c r="AH550" s="983"/>
      <c r="AI550" s="983"/>
      <c r="AJ550" s="968"/>
      <c r="AL550" s="937"/>
    </row>
    <row r="551" spans="2:38" s="930" customFormat="1" ht="20.25" customHeight="1" x14ac:dyDescent="0.2">
      <c r="B551" s="936"/>
      <c r="C551" s="936"/>
      <c r="D551" s="936"/>
      <c r="E551" s="936"/>
      <c r="AH551" s="983"/>
      <c r="AI551" s="983"/>
      <c r="AJ551" s="968"/>
      <c r="AL551" s="937"/>
    </row>
    <row r="552" spans="2:38" s="930" customFormat="1" ht="20.25" customHeight="1" x14ac:dyDescent="0.2">
      <c r="B552" s="936"/>
      <c r="C552" s="936"/>
      <c r="D552" s="936"/>
      <c r="E552" s="936"/>
      <c r="AH552" s="983"/>
      <c r="AI552" s="983"/>
      <c r="AJ552" s="968"/>
      <c r="AL552" s="937"/>
    </row>
    <row r="553" spans="2:38" s="930" customFormat="1" ht="20.25" customHeight="1" x14ac:dyDescent="0.2">
      <c r="B553" s="936"/>
      <c r="C553" s="936"/>
      <c r="D553" s="936"/>
      <c r="E553" s="936"/>
      <c r="AH553" s="983"/>
      <c r="AI553" s="983"/>
      <c r="AJ553" s="968"/>
      <c r="AL553" s="937"/>
    </row>
    <row r="554" spans="2:38" s="930" customFormat="1" ht="20.25" customHeight="1" x14ac:dyDescent="0.2">
      <c r="B554" s="936"/>
      <c r="C554" s="936"/>
      <c r="D554" s="936"/>
      <c r="E554" s="936"/>
      <c r="AH554" s="983"/>
      <c r="AI554" s="983"/>
      <c r="AJ554" s="968"/>
      <c r="AL554" s="937"/>
    </row>
    <row r="555" spans="2:38" s="930" customFormat="1" ht="20.25" customHeight="1" x14ac:dyDescent="0.2">
      <c r="B555" s="936"/>
      <c r="C555" s="936"/>
      <c r="D555" s="936"/>
      <c r="E555" s="936"/>
      <c r="AH555" s="983"/>
      <c r="AI555" s="983"/>
      <c r="AJ555" s="968"/>
      <c r="AL555" s="937"/>
    </row>
    <row r="556" spans="2:38" s="930" customFormat="1" ht="20.25" customHeight="1" x14ac:dyDescent="0.2">
      <c r="B556" s="936"/>
      <c r="C556" s="936"/>
      <c r="D556" s="936"/>
      <c r="E556" s="936"/>
      <c r="AH556" s="983"/>
      <c r="AI556" s="983"/>
      <c r="AJ556" s="968"/>
      <c r="AL556" s="937"/>
    </row>
    <row r="557" spans="2:38" s="930" customFormat="1" ht="20.25" customHeight="1" x14ac:dyDescent="0.2">
      <c r="B557" s="936"/>
      <c r="C557" s="936"/>
      <c r="D557" s="936"/>
      <c r="E557" s="936"/>
      <c r="AH557" s="983"/>
      <c r="AI557" s="983"/>
      <c r="AJ557" s="968"/>
      <c r="AL557" s="937"/>
    </row>
    <row r="558" spans="2:38" s="930" customFormat="1" ht="20.25" customHeight="1" x14ac:dyDescent="0.2">
      <c r="B558" s="936"/>
      <c r="C558" s="936"/>
      <c r="D558" s="936"/>
      <c r="E558" s="936"/>
      <c r="AH558" s="983"/>
      <c r="AI558" s="983"/>
      <c r="AJ558" s="968"/>
      <c r="AL558" s="937"/>
    </row>
    <row r="559" spans="2:38" s="930" customFormat="1" ht="20.25" customHeight="1" x14ac:dyDescent="0.2">
      <c r="B559" s="936"/>
      <c r="C559" s="936"/>
      <c r="D559" s="936"/>
      <c r="E559" s="936"/>
      <c r="AH559" s="983"/>
      <c r="AI559" s="983"/>
      <c r="AJ559" s="968"/>
      <c r="AL559" s="937"/>
    </row>
    <row r="560" spans="2:38" s="930" customFormat="1" ht="20.25" customHeight="1" x14ac:dyDescent="0.2">
      <c r="B560" s="936"/>
      <c r="C560" s="936"/>
      <c r="D560" s="936"/>
      <c r="E560" s="936"/>
      <c r="AH560" s="983"/>
      <c r="AI560" s="983"/>
      <c r="AJ560" s="968"/>
      <c r="AL560" s="937"/>
    </row>
    <row r="561" spans="2:38" s="930" customFormat="1" ht="20.25" customHeight="1" x14ac:dyDescent="0.2">
      <c r="B561" s="936"/>
      <c r="C561" s="936"/>
      <c r="D561" s="936"/>
      <c r="E561" s="936"/>
      <c r="AH561" s="983"/>
      <c r="AI561" s="983"/>
      <c r="AJ561" s="968"/>
      <c r="AL561" s="937"/>
    </row>
    <row r="562" spans="2:38" s="930" customFormat="1" ht="20.25" customHeight="1" x14ac:dyDescent="0.2">
      <c r="B562" s="936"/>
      <c r="C562" s="936"/>
      <c r="D562" s="936"/>
      <c r="E562" s="936"/>
      <c r="AH562" s="983"/>
      <c r="AI562" s="983"/>
      <c r="AJ562" s="968"/>
      <c r="AL562" s="937"/>
    </row>
    <row r="563" spans="2:38" s="930" customFormat="1" ht="20.25" customHeight="1" x14ac:dyDescent="0.2">
      <c r="B563" s="936"/>
      <c r="C563" s="936"/>
      <c r="D563" s="936"/>
      <c r="E563" s="936"/>
      <c r="AH563" s="983"/>
      <c r="AI563" s="983"/>
      <c r="AJ563" s="968"/>
      <c r="AL563" s="937"/>
    </row>
    <row r="564" spans="2:38" s="930" customFormat="1" ht="20.25" customHeight="1" x14ac:dyDescent="0.2">
      <c r="B564" s="936"/>
      <c r="C564" s="936"/>
      <c r="D564" s="936"/>
      <c r="E564" s="936"/>
      <c r="AH564" s="983"/>
      <c r="AI564" s="983"/>
      <c r="AJ564" s="968"/>
      <c r="AL564" s="937"/>
    </row>
    <row r="565" spans="2:38" s="930" customFormat="1" ht="20.25" customHeight="1" x14ac:dyDescent="0.2">
      <c r="B565" s="936"/>
      <c r="C565" s="936"/>
      <c r="D565" s="936"/>
      <c r="E565" s="936"/>
      <c r="AH565" s="983"/>
      <c r="AI565" s="983"/>
      <c r="AJ565" s="968"/>
      <c r="AL565" s="937"/>
    </row>
    <row r="566" spans="2:38" s="930" customFormat="1" ht="20.25" customHeight="1" x14ac:dyDescent="0.2">
      <c r="B566" s="936"/>
      <c r="C566" s="936"/>
      <c r="D566" s="936"/>
      <c r="E566" s="936"/>
      <c r="AH566" s="983"/>
      <c r="AI566" s="983"/>
      <c r="AJ566" s="968"/>
      <c r="AL566" s="937"/>
    </row>
    <row r="567" spans="2:38" s="930" customFormat="1" ht="20.25" customHeight="1" x14ac:dyDescent="0.2">
      <c r="B567" s="936"/>
      <c r="C567" s="936"/>
      <c r="D567" s="936"/>
      <c r="E567" s="936"/>
      <c r="AH567" s="983"/>
      <c r="AI567" s="983"/>
      <c r="AJ567" s="968"/>
      <c r="AL567" s="937"/>
    </row>
    <row r="568" spans="2:38" s="930" customFormat="1" ht="20.25" customHeight="1" x14ac:dyDescent="0.2">
      <c r="B568" s="936"/>
      <c r="C568" s="936"/>
      <c r="D568" s="936"/>
      <c r="E568" s="936"/>
      <c r="AH568" s="983"/>
      <c r="AI568" s="983"/>
      <c r="AJ568" s="968"/>
      <c r="AL568" s="937"/>
    </row>
    <row r="569" spans="2:38" s="930" customFormat="1" ht="20.25" customHeight="1" x14ac:dyDescent="0.2">
      <c r="B569" s="936"/>
      <c r="C569" s="936"/>
      <c r="D569" s="936"/>
      <c r="E569" s="936"/>
      <c r="AH569" s="983"/>
      <c r="AI569" s="983"/>
      <c r="AJ569" s="968"/>
      <c r="AL569" s="937"/>
    </row>
    <row r="570" spans="2:38" s="930" customFormat="1" ht="20.25" customHeight="1" x14ac:dyDescent="0.2">
      <c r="B570" s="936"/>
      <c r="C570" s="936"/>
      <c r="D570" s="936"/>
      <c r="E570" s="936"/>
      <c r="AH570" s="983"/>
      <c r="AI570" s="983"/>
      <c r="AJ570" s="968"/>
      <c r="AL570" s="937"/>
    </row>
    <row r="571" spans="2:38" s="930" customFormat="1" ht="20.25" customHeight="1" x14ac:dyDescent="0.2">
      <c r="B571" s="936"/>
      <c r="C571" s="936"/>
      <c r="D571" s="936"/>
      <c r="E571" s="936"/>
      <c r="AH571" s="983"/>
      <c r="AI571" s="983"/>
      <c r="AJ571" s="968"/>
      <c r="AL571" s="937"/>
    </row>
    <row r="572" spans="2:38" s="930" customFormat="1" ht="20.25" customHeight="1" x14ac:dyDescent="0.2">
      <c r="B572" s="936"/>
      <c r="C572" s="936"/>
      <c r="D572" s="936"/>
      <c r="E572" s="936"/>
      <c r="AH572" s="983"/>
      <c r="AI572" s="983"/>
      <c r="AJ572" s="968"/>
      <c r="AL572" s="937"/>
    </row>
    <row r="573" spans="2:38" s="930" customFormat="1" ht="20.25" customHeight="1" x14ac:dyDescent="0.2">
      <c r="B573" s="936"/>
      <c r="C573" s="936"/>
      <c r="D573" s="936"/>
      <c r="E573" s="936"/>
      <c r="AH573" s="983"/>
      <c r="AI573" s="983"/>
      <c r="AJ573" s="968"/>
      <c r="AL573" s="937"/>
    </row>
    <row r="574" spans="2:38" s="930" customFormat="1" ht="20.25" customHeight="1" x14ac:dyDescent="0.2">
      <c r="B574" s="936"/>
      <c r="C574" s="936"/>
      <c r="D574" s="936"/>
      <c r="E574" s="936"/>
      <c r="AH574" s="983"/>
      <c r="AI574" s="983"/>
      <c r="AJ574" s="968"/>
      <c r="AL574" s="937"/>
    </row>
    <row r="575" spans="2:38" s="930" customFormat="1" ht="20.25" customHeight="1" x14ac:dyDescent="0.2">
      <c r="B575" s="936"/>
      <c r="C575" s="936"/>
      <c r="D575" s="936"/>
      <c r="E575" s="936"/>
      <c r="AH575" s="983"/>
      <c r="AI575" s="983"/>
      <c r="AJ575" s="968"/>
      <c r="AL575" s="937"/>
    </row>
    <row r="576" spans="2:38" s="930" customFormat="1" ht="20.25" customHeight="1" x14ac:dyDescent="0.2">
      <c r="B576" s="936"/>
      <c r="C576" s="936"/>
      <c r="D576" s="936"/>
      <c r="E576" s="936"/>
      <c r="AH576" s="983"/>
      <c r="AI576" s="983"/>
      <c r="AJ576" s="968"/>
      <c r="AL576" s="937"/>
    </row>
    <row r="577" spans="2:38" s="930" customFormat="1" ht="20.25" customHeight="1" x14ac:dyDescent="0.2">
      <c r="B577" s="936"/>
      <c r="C577" s="936"/>
      <c r="D577" s="936"/>
      <c r="E577" s="936"/>
      <c r="AH577" s="983"/>
      <c r="AI577" s="983"/>
      <c r="AJ577" s="968"/>
      <c r="AL577" s="937"/>
    </row>
    <row r="578" spans="2:38" s="930" customFormat="1" ht="20.25" customHeight="1" x14ac:dyDescent="0.2">
      <c r="B578" s="936"/>
      <c r="C578" s="936"/>
      <c r="D578" s="936"/>
      <c r="E578" s="936"/>
      <c r="AH578" s="983"/>
      <c r="AI578" s="983"/>
      <c r="AJ578" s="968"/>
      <c r="AL578" s="937"/>
    </row>
    <row r="579" spans="2:38" s="930" customFormat="1" ht="20.25" customHeight="1" x14ac:dyDescent="0.2">
      <c r="B579" s="936"/>
      <c r="C579" s="936"/>
      <c r="D579" s="936"/>
      <c r="E579" s="936"/>
      <c r="AH579" s="983"/>
      <c r="AI579" s="983"/>
      <c r="AJ579" s="968"/>
      <c r="AL579" s="937"/>
    </row>
    <row r="580" spans="2:38" s="930" customFormat="1" ht="20.25" customHeight="1" x14ac:dyDescent="0.2">
      <c r="B580" s="936"/>
      <c r="C580" s="936"/>
      <c r="D580" s="936"/>
      <c r="E580" s="936"/>
      <c r="AH580" s="983"/>
      <c r="AI580" s="983"/>
      <c r="AJ580" s="968"/>
      <c r="AL580" s="937"/>
    </row>
    <row r="581" spans="2:38" s="930" customFormat="1" ht="20.25" customHeight="1" x14ac:dyDescent="0.2">
      <c r="B581" s="936"/>
      <c r="C581" s="936"/>
      <c r="D581" s="936"/>
      <c r="E581" s="936"/>
      <c r="AH581" s="983"/>
      <c r="AI581" s="983"/>
      <c r="AJ581" s="968"/>
      <c r="AL581" s="937"/>
    </row>
    <row r="582" spans="2:38" s="930" customFormat="1" ht="20.25" customHeight="1" x14ac:dyDescent="0.2">
      <c r="B582" s="936"/>
      <c r="C582" s="936"/>
      <c r="D582" s="936"/>
      <c r="E582" s="936"/>
      <c r="AH582" s="983"/>
      <c r="AI582" s="983"/>
      <c r="AJ582" s="968"/>
      <c r="AL582" s="937"/>
    </row>
    <row r="583" spans="2:38" s="930" customFormat="1" ht="20.25" customHeight="1" x14ac:dyDescent="0.2">
      <c r="B583" s="936"/>
      <c r="C583" s="936"/>
      <c r="D583" s="936"/>
      <c r="E583" s="936"/>
      <c r="AH583" s="983"/>
      <c r="AI583" s="983"/>
      <c r="AJ583" s="968"/>
      <c r="AL583" s="937"/>
    </row>
    <row r="584" spans="2:38" s="930" customFormat="1" ht="20.25" customHeight="1" x14ac:dyDescent="0.2">
      <c r="B584" s="936"/>
      <c r="C584" s="936"/>
      <c r="D584" s="936"/>
      <c r="E584" s="936"/>
      <c r="AH584" s="983"/>
      <c r="AI584" s="983"/>
      <c r="AJ584" s="968"/>
      <c r="AL584" s="937"/>
    </row>
    <row r="585" spans="2:38" s="930" customFormat="1" ht="20.25" customHeight="1" x14ac:dyDescent="0.2">
      <c r="B585" s="936"/>
      <c r="C585" s="936"/>
      <c r="D585" s="936"/>
      <c r="E585" s="936"/>
      <c r="AH585" s="983"/>
      <c r="AI585" s="983"/>
      <c r="AJ585" s="968"/>
      <c r="AL585" s="937"/>
    </row>
    <row r="586" spans="2:38" s="930" customFormat="1" ht="20.25" customHeight="1" x14ac:dyDescent="0.2">
      <c r="B586" s="936"/>
      <c r="C586" s="936"/>
      <c r="D586" s="936"/>
      <c r="E586" s="936"/>
      <c r="AH586" s="983"/>
      <c r="AI586" s="983"/>
      <c r="AJ586" s="968"/>
      <c r="AL586" s="937"/>
    </row>
    <row r="587" spans="2:38" s="930" customFormat="1" ht="20.25" customHeight="1" x14ac:dyDescent="0.2">
      <c r="B587" s="936"/>
      <c r="C587" s="936"/>
      <c r="D587" s="936"/>
      <c r="E587" s="936"/>
      <c r="AH587" s="983"/>
      <c r="AI587" s="983"/>
      <c r="AJ587" s="968"/>
      <c r="AL587" s="937"/>
    </row>
    <row r="588" spans="2:38" s="930" customFormat="1" ht="20.25" customHeight="1" x14ac:dyDescent="0.2">
      <c r="B588" s="936"/>
      <c r="C588" s="936"/>
      <c r="D588" s="936"/>
      <c r="E588" s="936"/>
      <c r="AH588" s="983"/>
      <c r="AI588" s="983"/>
      <c r="AJ588" s="968"/>
      <c r="AL588" s="937"/>
    </row>
    <row r="589" spans="2:38" s="930" customFormat="1" ht="20.25" customHeight="1" x14ac:dyDescent="0.2">
      <c r="B589" s="936"/>
      <c r="C589" s="936"/>
      <c r="D589" s="936"/>
      <c r="E589" s="936"/>
      <c r="AH589" s="983"/>
      <c r="AI589" s="983"/>
      <c r="AJ589" s="968"/>
      <c r="AL589" s="937"/>
    </row>
    <row r="590" spans="2:38" s="930" customFormat="1" ht="20.25" customHeight="1" x14ac:dyDescent="0.2">
      <c r="B590" s="936"/>
      <c r="C590" s="936"/>
      <c r="D590" s="936"/>
      <c r="E590" s="936"/>
      <c r="AH590" s="983"/>
      <c r="AI590" s="983"/>
      <c r="AJ590" s="968"/>
      <c r="AL590" s="937"/>
    </row>
    <row r="591" spans="2:38" s="930" customFormat="1" ht="20.25" customHeight="1" x14ac:dyDescent="0.2">
      <c r="B591" s="936"/>
      <c r="C591" s="936"/>
      <c r="D591" s="936"/>
      <c r="E591" s="936"/>
      <c r="AH591" s="983"/>
      <c r="AI591" s="983"/>
      <c r="AJ591" s="968"/>
      <c r="AL591" s="937"/>
    </row>
    <row r="592" spans="2:38" s="930" customFormat="1" ht="20.25" customHeight="1" x14ac:dyDescent="0.2">
      <c r="B592" s="936"/>
      <c r="C592" s="936"/>
      <c r="D592" s="936"/>
      <c r="E592" s="936"/>
      <c r="AH592" s="983"/>
      <c r="AI592" s="983"/>
      <c r="AJ592" s="968"/>
      <c r="AL592" s="937"/>
    </row>
    <row r="593" spans="2:38" s="930" customFormat="1" ht="20.25" customHeight="1" x14ac:dyDescent="0.2">
      <c r="B593" s="936"/>
      <c r="C593" s="936"/>
      <c r="D593" s="936"/>
      <c r="E593" s="936"/>
      <c r="AH593" s="983"/>
      <c r="AI593" s="983"/>
      <c r="AJ593" s="968"/>
      <c r="AL593" s="937"/>
    </row>
    <row r="594" spans="2:38" s="930" customFormat="1" ht="20.25" customHeight="1" x14ac:dyDescent="0.2">
      <c r="B594" s="936"/>
      <c r="C594" s="936"/>
      <c r="D594" s="936"/>
      <c r="E594" s="936"/>
      <c r="AH594" s="983"/>
      <c r="AI594" s="983"/>
      <c r="AJ594" s="968"/>
      <c r="AL594" s="937"/>
    </row>
    <row r="595" spans="2:38" s="930" customFormat="1" ht="20.25" customHeight="1" x14ac:dyDescent="0.2">
      <c r="B595" s="936"/>
      <c r="C595" s="936"/>
      <c r="D595" s="936"/>
      <c r="E595" s="936"/>
      <c r="AH595" s="983"/>
      <c r="AI595" s="983"/>
      <c r="AJ595" s="968"/>
      <c r="AL595" s="937"/>
    </row>
    <row r="596" spans="2:38" s="930" customFormat="1" ht="20.25" customHeight="1" x14ac:dyDescent="0.2">
      <c r="B596" s="936"/>
      <c r="C596" s="936"/>
      <c r="D596" s="936"/>
      <c r="E596" s="936"/>
      <c r="AH596" s="983"/>
      <c r="AI596" s="983"/>
      <c r="AJ596" s="968"/>
      <c r="AL596" s="937"/>
    </row>
    <row r="597" spans="2:38" s="930" customFormat="1" ht="20.25" customHeight="1" x14ac:dyDescent="0.2">
      <c r="B597" s="936"/>
      <c r="C597" s="936"/>
      <c r="D597" s="936"/>
      <c r="E597" s="936"/>
      <c r="AH597" s="983"/>
      <c r="AI597" s="983"/>
      <c r="AJ597" s="968"/>
      <c r="AL597" s="937"/>
    </row>
    <row r="598" spans="2:38" s="930" customFormat="1" ht="20.25" customHeight="1" x14ac:dyDescent="0.2">
      <c r="B598" s="936"/>
      <c r="C598" s="936"/>
      <c r="D598" s="936"/>
      <c r="E598" s="936"/>
      <c r="AH598" s="983"/>
      <c r="AI598" s="983"/>
      <c r="AJ598" s="968"/>
      <c r="AL598" s="937"/>
    </row>
    <row r="599" spans="2:38" s="930" customFormat="1" ht="20.25" customHeight="1" x14ac:dyDescent="0.2">
      <c r="B599" s="936"/>
      <c r="C599" s="936"/>
      <c r="D599" s="936"/>
      <c r="E599" s="936"/>
      <c r="AH599" s="983"/>
      <c r="AI599" s="983"/>
      <c r="AJ599" s="968"/>
      <c r="AL599" s="937"/>
    </row>
    <row r="600" spans="2:38" s="930" customFormat="1" ht="20.25" customHeight="1" x14ac:dyDescent="0.2">
      <c r="B600" s="936"/>
      <c r="C600" s="936"/>
      <c r="D600" s="936"/>
      <c r="E600" s="936"/>
      <c r="AH600" s="983"/>
      <c r="AI600" s="983"/>
      <c r="AJ600" s="968"/>
      <c r="AL600" s="937"/>
    </row>
    <row r="601" spans="2:38" s="930" customFormat="1" ht="20.25" customHeight="1" x14ac:dyDescent="0.2">
      <c r="B601" s="936"/>
      <c r="C601" s="936"/>
      <c r="D601" s="936"/>
      <c r="E601" s="936"/>
      <c r="AH601" s="983"/>
      <c r="AI601" s="983"/>
      <c r="AJ601" s="968"/>
      <c r="AL601" s="937"/>
    </row>
    <row r="602" spans="2:38" s="930" customFormat="1" ht="20.25" customHeight="1" x14ac:dyDescent="0.2">
      <c r="B602" s="936"/>
      <c r="C602" s="936"/>
      <c r="D602" s="936"/>
      <c r="E602" s="936"/>
      <c r="AH602" s="983"/>
      <c r="AI602" s="983"/>
      <c r="AJ602" s="968"/>
      <c r="AL602" s="937"/>
    </row>
    <row r="603" spans="2:38" s="930" customFormat="1" ht="20.25" customHeight="1" x14ac:dyDescent="0.2">
      <c r="B603" s="936"/>
      <c r="C603" s="936"/>
      <c r="D603" s="936"/>
      <c r="E603" s="936"/>
      <c r="AH603" s="983"/>
      <c r="AI603" s="983"/>
      <c r="AJ603" s="968"/>
      <c r="AL603" s="937"/>
    </row>
    <row r="604" spans="2:38" s="930" customFormat="1" ht="20.25" customHeight="1" x14ac:dyDescent="0.2">
      <c r="B604" s="936"/>
      <c r="C604" s="936"/>
      <c r="D604" s="936"/>
      <c r="E604" s="936"/>
      <c r="AH604" s="983"/>
      <c r="AI604" s="983"/>
      <c r="AJ604" s="968"/>
      <c r="AL604" s="937"/>
    </row>
    <row r="605" spans="2:38" s="930" customFormat="1" ht="20.25" customHeight="1" x14ac:dyDescent="0.2">
      <c r="B605" s="936"/>
      <c r="C605" s="936"/>
      <c r="D605" s="936"/>
      <c r="E605" s="936"/>
      <c r="AH605" s="983"/>
      <c r="AI605" s="983"/>
      <c r="AJ605" s="968"/>
      <c r="AL605" s="937"/>
    </row>
    <row r="606" spans="2:38" s="930" customFormat="1" ht="20.25" customHeight="1" x14ac:dyDescent="0.2">
      <c r="B606" s="936"/>
      <c r="C606" s="936"/>
      <c r="D606" s="936"/>
      <c r="E606" s="936"/>
      <c r="AH606" s="983"/>
      <c r="AI606" s="983"/>
      <c r="AJ606" s="968"/>
      <c r="AL606" s="937"/>
    </row>
    <row r="607" spans="2:38" s="930" customFormat="1" ht="20.25" customHeight="1" x14ac:dyDescent="0.2">
      <c r="B607" s="936"/>
      <c r="C607" s="936"/>
      <c r="D607" s="936"/>
      <c r="E607" s="936"/>
      <c r="AH607" s="983"/>
      <c r="AI607" s="983"/>
      <c r="AJ607" s="968"/>
      <c r="AL607" s="937"/>
    </row>
    <row r="608" spans="2:38" s="930" customFormat="1" ht="20.25" customHeight="1" x14ac:dyDescent="0.2">
      <c r="B608" s="936"/>
      <c r="C608" s="936"/>
      <c r="D608" s="936"/>
      <c r="E608" s="936"/>
      <c r="AH608" s="983"/>
      <c r="AI608" s="983"/>
      <c r="AJ608" s="968"/>
      <c r="AL608" s="937"/>
    </row>
    <row r="609" spans="2:38" s="930" customFormat="1" ht="20.25" customHeight="1" x14ac:dyDescent="0.2">
      <c r="B609" s="936"/>
      <c r="C609" s="936"/>
      <c r="D609" s="936"/>
      <c r="E609" s="936"/>
      <c r="AH609" s="983"/>
      <c r="AI609" s="983"/>
      <c r="AJ609" s="968"/>
      <c r="AL609" s="937"/>
    </row>
    <row r="610" spans="2:38" s="930" customFormat="1" ht="20.25" customHeight="1" x14ac:dyDescent="0.2">
      <c r="B610" s="936"/>
      <c r="C610" s="936"/>
      <c r="D610" s="936"/>
      <c r="E610" s="936"/>
      <c r="AH610" s="983"/>
      <c r="AI610" s="983"/>
      <c r="AJ610" s="968"/>
      <c r="AL610" s="937"/>
    </row>
    <row r="611" spans="2:38" s="930" customFormat="1" ht="20.25" customHeight="1" x14ac:dyDescent="0.2">
      <c r="B611" s="936"/>
      <c r="C611" s="936"/>
      <c r="D611" s="936"/>
      <c r="E611" s="936"/>
      <c r="AH611" s="983"/>
      <c r="AI611" s="983"/>
      <c r="AJ611" s="968"/>
      <c r="AL611" s="937"/>
    </row>
    <row r="612" spans="2:38" s="930" customFormat="1" ht="20.25" customHeight="1" x14ac:dyDescent="0.2">
      <c r="B612" s="936"/>
      <c r="C612" s="936"/>
      <c r="D612" s="936"/>
      <c r="E612" s="936"/>
      <c r="AH612" s="983"/>
      <c r="AI612" s="983"/>
      <c r="AJ612" s="968"/>
      <c r="AL612" s="937"/>
    </row>
    <row r="613" spans="2:38" s="930" customFormat="1" ht="20.25" customHeight="1" x14ac:dyDescent="0.2">
      <c r="B613" s="936"/>
      <c r="C613" s="936"/>
      <c r="D613" s="936"/>
      <c r="E613" s="936"/>
      <c r="AH613" s="983"/>
      <c r="AI613" s="983"/>
      <c r="AJ613" s="968"/>
      <c r="AL613" s="937"/>
    </row>
    <row r="614" spans="2:38" s="930" customFormat="1" ht="20.25" customHeight="1" x14ac:dyDescent="0.2">
      <c r="B614" s="936"/>
      <c r="C614" s="936"/>
      <c r="D614" s="936"/>
      <c r="E614" s="936"/>
      <c r="AH614" s="983"/>
      <c r="AI614" s="983"/>
      <c r="AJ614" s="968"/>
      <c r="AL614" s="937"/>
    </row>
    <row r="615" spans="2:38" s="930" customFormat="1" ht="20.25" customHeight="1" x14ac:dyDescent="0.2">
      <c r="B615" s="936"/>
      <c r="C615" s="936"/>
      <c r="D615" s="936"/>
      <c r="E615" s="936"/>
      <c r="AH615" s="983"/>
      <c r="AI615" s="983"/>
      <c r="AJ615" s="968"/>
      <c r="AL615" s="937"/>
    </row>
    <row r="616" spans="2:38" s="930" customFormat="1" ht="20.25" customHeight="1" x14ac:dyDescent="0.2">
      <c r="B616" s="936"/>
      <c r="C616" s="936"/>
      <c r="D616" s="936"/>
      <c r="E616" s="936"/>
      <c r="AH616" s="983"/>
      <c r="AI616" s="983"/>
      <c r="AJ616" s="968"/>
      <c r="AL616" s="937"/>
    </row>
    <row r="617" spans="2:38" s="930" customFormat="1" ht="20.25" customHeight="1" x14ac:dyDescent="0.2">
      <c r="B617" s="936"/>
      <c r="C617" s="936"/>
      <c r="D617" s="936"/>
      <c r="E617" s="936"/>
      <c r="AH617" s="983"/>
      <c r="AI617" s="983"/>
      <c r="AJ617" s="968"/>
      <c r="AL617" s="937"/>
    </row>
    <row r="618" spans="2:38" s="930" customFormat="1" ht="20.25" customHeight="1" x14ac:dyDescent="0.2">
      <c r="B618" s="936"/>
      <c r="C618" s="936"/>
      <c r="D618" s="936"/>
      <c r="E618" s="936"/>
      <c r="AH618" s="983"/>
      <c r="AI618" s="983"/>
      <c r="AJ618" s="968"/>
      <c r="AL618" s="937"/>
    </row>
    <row r="619" spans="2:38" s="930" customFormat="1" ht="20.25" customHeight="1" x14ac:dyDescent="0.2">
      <c r="B619" s="936"/>
      <c r="C619" s="936"/>
      <c r="D619" s="936"/>
      <c r="E619" s="936"/>
      <c r="AH619" s="983"/>
      <c r="AI619" s="983"/>
      <c r="AJ619" s="968"/>
      <c r="AL619" s="937"/>
    </row>
    <row r="620" spans="2:38" s="930" customFormat="1" ht="20.25" customHeight="1" x14ac:dyDescent="0.2">
      <c r="B620" s="936"/>
      <c r="C620" s="936"/>
      <c r="D620" s="936"/>
      <c r="E620" s="936"/>
      <c r="AH620" s="983"/>
      <c r="AI620" s="983"/>
      <c r="AJ620" s="968"/>
      <c r="AL620" s="937"/>
    </row>
    <row r="621" spans="2:38" s="930" customFormat="1" ht="20.25" customHeight="1" x14ac:dyDescent="0.2">
      <c r="B621" s="936"/>
      <c r="C621" s="936"/>
      <c r="D621" s="936"/>
      <c r="E621" s="936"/>
      <c r="AH621" s="983"/>
      <c r="AI621" s="983"/>
      <c r="AJ621" s="968"/>
      <c r="AL621" s="937"/>
    </row>
    <row r="622" spans="2:38" s="930" customFormat="1" ht="20.25" customHeight="1" x14ac:dyDescent="0.2">
      <c r="B622" s="936"/>
      <c r="C622" s="936"/>
      <c r="D622" s="936"/>
      <c r="E622" s="936"/>
      <c r="AH622" s="983"/>
      <c r="AI622" s="983"/>
      <c r="AJ622" s="968"/>
      <c r="AL622" s="937"/>
    </row>
    <row r="623" spans="2:38" s="930" customFormat="1" ht="20.25" customHeight="1" x14ac:dyDescent="0.2">
      <c r="B623" s="936"/>
      <c r="C623" s="936"/>
      <c r="D623" s="936"/>
      <c r="E623" s="936"/>
      <c r="AH623" s="983"/>
      <c r="AI623" s="983"/>
      <c r="AJ623" s="968"/>
      <c r="AL623" s="937"/>
    </row>
    <row r="624" spans="2:38" s="930" customFormat="1" ht="20.25" customHeight="1" x14ac:dyDescent="0.2">
      <c r="B624" s="936"/>
      <c r="C624" s="936"/>
      <c r="D624" s="936"/>
      <c r="E624" s="936"/>
      <c r="AH624" s="983"/>
      <c r="AI624" s="983"/>
      <c r="AJ624" s="968"/>
      <c r="AL624" s="937"/>
    </row>
    <row r="625" spans="2:38" s="930" customFormat="1" ht="20.25" customHeight="1" x14ac:dyDescent="0.2">
      <c r="B625" s="936"/>
      <c r="C625" s="936"/>
      <c r="D625" s="936"/>
      <c r="E625" s="936"/>
      <c r="AH625" s="983"/>
      <c r="AI625" s="983"/>
      <c r="AJ625" s="968"/>
      <c r="AL625" s="937"/>
    </row>
    <row r="626" spans="2:38" s="930" customFormat="1" ht="20.25" customHeight="1" x14ac:dyDescent="0.2">
      <c r="B626" s="936"/>
      <c r="C626" s="936"/>
      <c r="D626" s="936"/>
      <c r="E626" s="936"/>
      <c r="AH626" s="983"/>
      <c r="AI626" s="983"/>
      <c r="AJ626" s="968"/>
      <c r="AL626" s="937"/>
    </row>
    <row r="627" spans="2:38" s="930" customFormat="1" ht="20.25" customHeight="1" x14ac:dyDescent="0.2">
      <c r="B627" s="936"/>
      <c r="C627" s="936"/>
      <c r="D627" s="936"/>
      <c r="E627" s="936"/>
      <c r="AH627" s="983"/>
      <c r="AI627" s="983"/>
      <c r="AJ627" s="968"/>
      <c r="AL627" s="937"/>
    </row>
    <row r="628" spans="2:38" s="930" customFormat="1" ht="20.25" customHeight="1" x14ac:dyDescent="0.2">
      <c r="B628" s="936"/>
      <c r="C628" s="936"/>
      <c r="D628" s="936"/>
      <c r="E628" s="936"/>
      <c r="AH628" s="983"/>
      <c r="AI628" s="983"/>
      <c r="AJ628" s="968"/>
      <c r="AL628" s="937"/>
    </row>
    <row r="629" spans="2:38" s="930" customFormat="1" ht="20.25" customHeight="1" x14ac:dyDescent="0.2">
      <c r="B629" s="936"/>
      <c r="C629" s="936"/>
      <c r="D629" s="936"/>
      <c r="E629" s="936"/>
      <c r="AH629" s="983"/>
      <c r="AI629" s="983"/>
      <c r="AJ629" s="968"/>
      <c r="AL629" s="937"/>
    </row>
    <row r="630" spans="2:38" s="930" customFormat="1" ht="20.25" customHeight="1" x14ac:dyDescent="0.2">
      <c r="B630" s="936"/>
      <c r="C630" s="936"/>
      <c r="D630" s="936"/>
      <c r="E630" s="936"/>
      <c r="AH630" s="983"/>
      <c r="AI630" s="983"/>
      <c r="AJ630" s="968"/>
      <c r="AL630" s="937"/>
    </row>
    <row r="631" spans="2:38" s="930" customFormat="1" ht="20.25" customHeight="1" x14ac:dyDescent="0.2">
      <c r="B631" s="936"/>
      <c r="C631" s="936"/>
      <c r="D631" s="936"/>
      <c r="E631" s="936"/>
      <c r="AH631" s="983"/>
      <c r="AI631" s="983"/>
      <c r="AJ631" s="968"/>
      <c r="AL631" s="937"/>
    </row>
    <row r="632" spans="2:38" s="930" customFormat="1" ht="20.25" customHeight="1" x14ac:dyDescent="0.2">
      <c r="B632" s="936"/>
      <c r="C632" s="936"/>
      <c r="D632" s="936"/>
      <c r="E632" s="936"/>
      <c r="AH632" s="983"/>
      <c r="AI632" s="983"/>
      <c r="AJ632" s="968"/>
      <c r="AL632" s="937"/>
    </row>
    <row r="633" spans="2:38" s="930" customFormat="1" ht="20.25" customHeight="1" x14ac:dyDescent="0.2">
      <c r="B633" s="936"/>
      <c r="C633" s="936"/>
      <c r="D633" s="936"/>
      <c r="E633" s="936"/>
      <c r="AH633" s="983"/>
      <c r="AI633" s="983"/>
      <c r="AJ633" s="968"/>
      <c r="AL633" s="937"/>
    </row>
    <row r="634" spans="2:38" s="930" customFormat="1" ht="20.25" customHeight="1" x14ac:dyDescent="0.2">
      <c r="B634" s="936"/>
      <c r="C634" s="936"/>
      <c r="D634" s="936"/>
      <c r="E634" s="936"/>
      <c r="AH634" s="983"/>
      <c r="AI634" s="983"/>
      <c r="AJ634" s="968"/>
      <c r="AL634" s="937"/>
    </row>
    <row r="635" spans="2:38" s="930" customFormat="1" ht="20.25" customHeight="1" x14ac:dyDescent="0.2">
      <c r="B635" s="936"/>
      <c r="C635" s="936"/>
      <c r="D635" s="936"/>
      <c r="E635" s="936"/>
      <c r="AH635" s="983"/>
      <c r="AI635" s="983"/>
      <c r="AJ635" s="968"/>
      <c r="AL635" s="937"/>
    </row>
    <row r="636" spans="2:38" s="930" customFormat="1" ht="20.25" customHeight="1" x14ac:dyDescent="0.2">
      <c r="B636" s="936"/>
      <c r="C636" s="936"/>
      <c r="D636" s="936"/>
      <c r="E636" s="936"/>
      <c r="AH636" s="983"/>
      <c r="AI636" s="983"/>
      <c r="AJ636" s="968"/>
      <c r="AL636" s="937"/>
    </row>
    <row r="637" spans="2:38" s="930" customFormat="1" ht="20.25" customHeight="1" x14ac:dyDescent="0.2">
      <c r="B637" s="936"/>
      <c r="C637" s="936"/>
      <c r="D637" s="936"/>
      <c r="E637" s="936"/>
      <c r="AH637" s="983"/>
      <c r="AI637" s="983"/>
      <c r="AJ637" s="968"/>
      <c r="AL637" s="937"/>
    </row>
    <row r="638" spans="2:38" s="930" customFormat="1" ht="20.25" customHeight="1" x14ac:dyDescent="0.2">
      <c r="B638" s="936"/>
      <c r="C638" s="936"/>
      <c r="D638" s="936"/>
      <c r="E638" s="936"/>
      <c r="AH638" s="983"/>
      <c r="AI638" s="983"/>
      <c r="AJ638" s="968"/>
      <c r="AL638" s="937"/>
    </row>
    <row r="639" spans="2:38" s="930" customFormat="1" ht="20.25" customHeight="1" x14ac:dyDescent="0.2">
      <c r="B639" s="936"/>
      <c r="C639" s="936"/>
      <c r="D639" s="936"/>
      <c r="E639" s="936"/>
      <c r="AH639" s="983"/>
      <c r="AI639" s="983"/>
      <c r="AJ639" s="968"/>
      <c r="AL639" s="937"/>
    </row>
    <row r="640" spans="2:38" s="930" customFormat="1" ht="20.25" customHeight="1" x14ac:dyDescent="0.2">
      <c r="B640" s="936"/>
      <c r="C640" s="936"/>
      <c r="D640" s="936"/>
      <c r="E640" s="936"/>
      <c r="AH640" s="983"/>
      <c r="AI640" s="983"/>
      <c r="AJ640" s="968"/>
      <c r="AL640" s="937"/>
    </row>
    <row r="641" spans="2:38" s="930" customFormat="1" ht="20.25" customHeight="1" x14ac:dyDescent="0.2">
      <c r="B641" s="936"/>
      <c r="C641" s="936"/>
      <c r="D641" s="936"/>
      <c r="E641" s="936"/>
      <c r="AH641" s="983"/>
      <c r="AI641" s="983"/>
      <c r="AJ641" s="968"/>
      <c r="AL641" s="937"/>
    </row>
    <row r="642" spans="2:38" s="930" customFormat="1" ht="20.25" customHeight="1" x14ac:dyDescent="0.2">
      <c r="B642" s="936"/>
      <c r="C642" s="936"/>
      <c r="D642" s="936"/>
      <c r="E642" s="936"/>
      <c r="AH642" s="983"/>
      <c r="AI642" s="983"/>
      <c r="AJ642" s="968"/>
      <c r="AL642" s="937"/>
    </row>
    <row r="643" spans="2:38" s="930" customFormat="1" ht="20.25" customHeight="1" x14ac:dyDescent="0.2">
      <c r="B643" s="936"/>
      <c r="C643" s="936"/>
      <c r="D643" s="936"/>
      <c r="E643" s="936"/>
      <c r="AH643" s="983"/>
      <c r="AI643" s="983"/>
      <c r="AJ643" s="968"/>
      <c r="AL643" s="937"/>
    </row>
    <row r="644" spans="2:38" s="930" customFormat="1" ht="20.25" customHeight="1" x14ac:dyDescent="0.2">
      <c r="B644" s="936"/>
      <c r="C644" s="936"/>
      <c r="D644" s="936"/>
      <c r="E644" s="936"/>
      <c r="AH644" s="983"/>
      <c r="AI644" s="983"/>
      <c r="AJ644" s="968"/>
      <c r="AL644" s="937"/>
    </row>
    <row r="645" spans="2:38" s="930" customFormat="1" ht="20.25" customHeight="1" x14ac:dyDescent="0.2">
      <c r="B645" s="936"/>
      <c r="C645" s="936"/>
      <c r="D645" s="936"/>
      <c r="E645" s="936"/>
      <c r="AH645" s="983"/>
      <c r="AI645" s="983"/>
      <c r="AJ645" s="968"/>
      <c r="AL645" s="937"/>
    </row>
    <row r="646" spans="2:38" s="930" customFormat="1" ht="20.25" customHeight="1" x14ac:dyDescent="0.2">
      <c r="B646" s="936"/>
      <c r="C646" s="936"/>
      <c r="D646" s="936"/>
      <c r="E646" s="936"/>
      <c r="AH646" s="983"/>
      <c r="AI646" s="983"/>
      <c r="AJ646" s="968"/>
      <c r="AL646" s="937"/>
    </row>
    <row r="647" spans="2:38" s="930" customFormat="1" ht="20.25" customHeight="1" x14ac:dyDescent="0.2">
      <c r="B647" s="936"/>
      <c r="C647" s="936"/>
      <c r="D647" s="936"/>
      <c r="E647" s="936"/>
      <c r="AH647" s="983"/>
      <c r="AI647" s="983"/>
      <c r="AJ647" s="968"/>
      <c r="AL647" s="937"/>
    </row>
    <row r="648" spans="2:38" s="930" customFormat="1" ht="20.25" customHeight="1" x14ac:dyDescent="0.2">
      <c r="B648" s="936"/>
      <c r="C648" s="936"/>
      <c r="D648" s="936"/>
      <c r="E648" s="936"/>
      <c r="AH648" s="983"/>
      <c r="AI648" s="983"/>
      <c r="AJ648" s="968"/>
      <c r="AL648" s="937"/>
    </row>
    <row r="649" spans="2:38" s="930" customFormat="1" ht="20.25" customHeight="1" x14ac:dyDescent="0.2">
      <c r="B649" s="936"/>
      <c r="C649" s="936"/>
      <c r="D649" s="936"/>
      <c r="E649" s="936"/>
      <c r="AH649" s="983"/>
      <c r="AI649" s="983"/>
      <c r="AJ649" s="968"/>
      <c r="AL649" s="937"/>
    </row>
    <row r="650" spans="2:38" s="930" customFormat="1" ht="20.25" customHeight="1" x14ac:dyDescent="0.2">
      <c r="B650" s="936"/>
      <c r="C650" s="936"/>
      <c r="D650" s="936"/>
      <c r="E650" s="936"/>
      <c r="AH650" s="983"/>
      <c r="AI650" s="983"/>
      <c r="AJ650" s="968"/>
      <c r="AL650" s="937"/>
    </row>
    <row r="651" spans="2:38" s="930" customFormat="1" ht="20.25" customHeight="1" x14ac:dyDescent="0.2">
      <c r="B651" s="936"/>
      <c r="C651" s="936"/>
      <c r="D651" s="936"/>
      <c r="E651" s="936"/>
      <c r="AH651" s="983"/>
      <c r="AI651" s="983"/>
      <c r="AJ651" s="968"/>
      <c r="AL651" s="937"/>
    </row>
    <row r="652" spans="2:38" s="930" customFormat="1" ht="20.25" customHeight="1" x14ac:dyDescent="0.2">
      <c r="B652" s="936"/>
      <c r="C652" s="936"/>
      <c r="D652" s="936"/>
      <c r="E652" s="936"/>
      <c r="AH652" s="983"/>
      <c r="AI652" s="983"/>
      <c r="AJ652" s="968"/>
      <c r="AL652" s="937"/>
    </row>
    <row r="653" spans="2:38" s="930" customFormat="1" ht="20.25" customHeight="1" x14ac:dyDescent="0.2">
      <c r="B653" s="936"/>
      <c r="C653" s="936"/>
      <c r="D653" s="936"/>
      <c r="E653" s="936"/>
      <c r="AH653" s="983"/>
      <c r="AI653" s="983"/>
      <c r="AJ653" s="968"/>
      <c r="AL653" s="937"/>
    </row>
    <row r="654" spans="2:38" s="930" customFormat="1" ht="20.25" customHeight="1" x14ac:dyDescent="0.2">
      <c r="B654" s="936"/>
      <c r="C654" s="936"/>
      <c r="D654" s="936"/>
      <c r="E654" s="936"/>
      <c r="AH654" s="983"/>
      <c r="AI654" s="983"/>
      <c r="AJ654" s="968"/>
      <c r="AL654" s="937"/>
    </row>
    <row r="655" spans="2:38" s="930" customFormat="1" ht="20.25" customHeight="1" x14ac:dyDescent="0.2">
      <c r="B655" s="936"/>
      <c r="C655" s="936"/>
      <c r="D655" s="936"/>
      <c r="E655" s="936"/>
      <c r="AH655" s="983"/>
      <c r="AI655" s="983"/>
      <c r="AJ655" s="968"/>
      <c r="AL655" s="937"/>
    </row>
    <row r="656" spans="2:38" s="930" customFormat="1" ht="20.25" customHeight="1" x14ac:dyDescent="0.2">
      <c r="B656" s="936"/>
      <c r="C656" s="936"/>
      <c r="D656" s="936"/>
      <c r="E656" s="936"/>
      <c r="AH656" s="983"/>
      <c r="AI656" s="983"/>
      <c r="AJ656" s="968"/>
      <c r="AL656" s="937"/>
    </row>
    <row r="657" spans="2:38" s="930" customFormat="1" ht="20.25" customHeight="1" x14ac:dyDescent="0.2">
      <c r="B657" s="936"/>
      <c r="C657" s="936"/>
      <c r="D657" s="936"/>
      <c r="E657" s="936"/>
      <c r="AH657" s="983"/>
      <c r="AI657" s="983"/>
      <c r="AJ657" s="968"/>
      <c r="AL657" s="937"/>
    </row>
    <row r="658" spans="2:38" s="930" customFormat="1" ht="20.25" customHeight="1" x14ac:dyDescent="0.2">
      <c r="B658" s="936"/>
      <c r="C658" s="936"/>
      <c r="D658" s="936"/>
      <c r="E658" s="936"/>
      <c r="AH658" s="983"/>
      <c r="AI658" s="983"/>
      <c r="AJ658" s="968"/>
      <c r="AL658" s="937"/>
    </row>
    <row r="659" spans="2:38" s="930" customFormat="1" ht="20.25" customHeight="1" x14ac:dyDescent="0.2">
      <c r="B659" s="936"/>
      <c r="C659" s="936"/>
      <c r="D659" s="936"/>
      <c r="E659" s="936"/>
      <c r="AH659" s="983"/>
      <c r="AI659" s="983"/>
      <c r="AJ659" s="968"/>
      <c r="AL659" s="937"/>
    </row>
    <row r="660" spans="2:38" s="930" customFormat="1" ht="20.25" customHeight="1" x14ac:dyDescent="0.2">
      <c r="B660" s="936"/>
      <c r="C660" s="936"/>
      <c r="D660" s="936"/>
      <c r="E660" s="936"/>
      <c r="AH660" s="983"/>
      <c r="AI660" s="983"/>
      <c r="AJ660" s="968"/>
      <c r="AL660" s="937"/>
    </row>
    <row r="661" spans="2:38" s="930" customFormat="1" ht="20.25" customHeight="1" x14ac:dyDescent="0.2">
      <c r="B661" s="936"/>
      <c r="C661" s="936"/>
      <c r="D661" s="936"/>
      <c r="E661" s="936"/>
      <c r="AH661" s="983"/>
      <c r="AI661" s="983"/>
      <c r="AJ661" s="968"/>
      <c r="AL661" s="937"/>
    </row>
    <row r="662" spans="2:38" s="930" customFormat="1" ht="20.25" customHeight="1" x14ac:dyDescent="0.2">
      <c r="B662" s="936"/>
      <c r="C662" s="936"/>
      <c r="D662" s="936"/>
      <c r="E662" s="936"/>
      <c r="AH662" s="983"/>
      <c r="AI662" s="983"/>
      <c r="AJ662" s="968"/>
      <c r="AL662" s="937"/>
    </row>
    <row r="663" spans="2:38" s="930" customFormat="1" ht="20.25" customHeight="1" x14ac:dyDescent="0.2">
      <c r="B663" s="936"/>
      <c r="C663" s="936"/>
      <c r="D663" s="936"/>
      <c r="E663" s="936"/>
      <c r="AH663" s="983"/>
      <c r="AI663" s="983"/>
      <c r="AJ663" s="968"/>
      <c r="AL663" s="937"/>
    </row>
    <row r="664" spans="2:38" s="930" customFormat="1" ht="20.25" customHeight="1" x14ac:dyDescent="0.2">
      <c r="B664" s="936"/>
      <c r="C664" s="936"/>
      <c r="D664" s="936"/>
      <c r="E664" s="936"/>
      <c r="AH664" s="983"/>
      <c r="AI664" s="983"/>
      <c r="AJ664" s="968"/>
      <c r="AL664" s="937"/>
    </row>
    <row r="665" spans="2:38" s="930" customFormat="1" ht="20.25" customHeight="1" x14ac:dyDescent="0.2">
      <c r="B665" s="936"/>
      <c r="C665" s="936"/>
      <c r="D665" s="936"/>
      <c r="E665" s="936"/>
      <c r="AH665" s="983"/>
      <c r="AI665" s="983"/>
      <c r="AJ665" s="968"/>
      <c r="AL665" s="937"/>
    </row>
    <row r="666" spans="2:38" s="930" customFormat="1" ht="20.25" customHeight="1" x14ac:dyDescent="0.2">
      <c r="B666" s="936"/>
      <c r="C666" s="936"/>
      <c r="D666" s="936"/>
      <c r="E666" s="936"/>
      <c r="AH666" s="983"/>
      <c r="AI666" s="983"/>
      <c r="AJ666" s="968"/>
      <c r="AL666" s="937"/>
    </row>
    <row r="667" spans="2:38" s="930" customFormat="1" ht="20.25" customHeight="1" x14ac:dyDescent="0.2">
      <c r="B667" s="936"/>
      <c r="C667" s="936"/>
      <c r="D667" s="936"/>
      <c r="E667" s="936"/>
      <c r="AH667" s="983"/>
      <c r="AI667" s="983"/>
      <c r="AJ667" s="968"/>
      <c r="AL667" s="937"/>
    </row>
    <row r="668" spans="2:38" s="930" customFormat="1" ht="20.25" customHeight="1" x14ac:dyDescent="0.2">
      <c r="B668" s="936"/>
      <c r="C668" s="936"/>
      <c r="D668" s="936"/>
      <c r="E668" s="936"/>
      <c r="AH668" s="983"/>
      <c r="AI668" s="983"/>
      <c r="AJ668" s="968"/>
      <c r="AL668" s="937"/>
    </row>
    <row r="669" spans="2:38" s="930" customFormat="1" ht="20.25" customHeight="1" x14ac:dyDescent="0.2">
      <c r="B669" s="936"/>
      <c r="C669" s="936"/>
      <c r="D669" s="936"/>
      <c r="E669" s="936"/>
      <c r="AH669" s="983"/>
      <c r="AI669" s="983"/>
      <c r="AJ669" s="968"/>
      <c r="AL669" s="937"/>
    </row>
    <row r="670" spans="2:38" s="930" customFormat="1" ht="20.25" customHeight="1" x14ac:dyDescent="0.2">
      <c r="B670" s="936"/>
      <c r="C670" s="936"/>
      <c r="D670" s="936"/>
      <c r="E670" s="936"/>
      <c r="AH670" s="983"/>
      <c r="AI670" s="983"/>
      <c r="AJ670" s="968"/>
      <c r="AL670" s="937"/>
    </row>
    <row r="671" spans="2:38" s="930" customFormat="1" ht="20.25" customHeight="1" x14ac:dyDescent="0.2">
      <c r="B671" s="936"/>
      <c r="C671" s="936"/>
      <c r="D671" s="936"/>
      <c r="E671" s="936"/>
      <c r="AH671" s="983"/>
      <c r="AI671" s="983"/>
      <c r="AJ671" s="968"/>
      <c r="AL671" s="937"/>
    </row>
    <row r="672" spans="2:38" s="930" customFormat="1" ht="20.25" customHeight="1" x14ac:dyDescent="0.2">
      <c r="B672" s="936"/>
      <c r="C672" s="936"/>
      <c r="D672" s="936"/>
      <c r="E672" s="936"/>
      <c r="AH672" s="983"/>
      <c r="AI672" s="983"/>
      <c r="AJ672" s="968"/>
      <c r="AL672" s="937"/>
    </row>
    <row r="673" spans="2:38" s="930" customFormat="1" ht="20.25" customHeight="1" x14ac:dyDescent="0.2">
      <c r="B673" s="936"/>
      <c r="C673" s="936"/>
      <c r="D673" s="936"/>
      <c r="E673" s="936"/>
      <c r="AH673" s="983"/>
      <c r="AI673" s="983"/>
      <c r="AJ673" s="968"/>
      <c r="AL673" s="937"/>
    </row>
    <row r="674" spans="2:38" s="930" customFormat="1" ht="20.25" customHeight="1" x14ac:dyDescent="0.2">
      <c r="B674" s="936"/>
      <c r="C674" s="936"/>
      <c r="D674" s="936"/>
      <c r="E674" s="936"/>
      <c r="AH674" s="983"/>
      <c r="AI674" s="983"/>
      <c r="AJ674" s="968"/>
      <c r="AL674" s="937"/>
    </row>
    <row r="675" spans="2:38" s="930" customFormat="1" ht="20.25" customHeight="1" x14ac:dyDescent="0.2">
      <c r="B675" s="936"/>
      <c r="C675" s="936"/>
      <c r="D675" s="936"/>
      <c r="E675" s="936"/>
      <c r="AH675" s="983"/>
      <c r="AI675" s="983"/>
      <c r="AJ675" s="968"/>
      <c r="AL675" s="937"/>
    </row>
    <row r="676" spans="2:38" s="930" customFormat="1" ht="20.25" customHeight="1" x14ac:dyDescent="0.2">
      <c r="B676" s="936"/>
      <c r="C676" s="936"/>
      <c r="D676" s="936"/>
      <c r="E676" s="936"/>
      <c r="AH676" s="983"/>
      <c r="AI676" s="983"/>
      <c r="AJ676" s="968"/>
      <c r="AL676" s="937"/>
    </row>
    <row r="677" spans="2:38" s="930" customFormat="1" ht="20.25" customHeight="1" x14ac:dyDescent="0.2">
      <c r="B677" s="936"/>
      <c r="C677" s="936"/>
      <c r="D677" s="936"/>
      <c r="E677" s="936"/>
      <c r="AH677" s="983"/>
      <c r="AI677" s="983"/>
      <c r="AJ677" s="968"/>
      <c r="AL677" s="937"/>
    </row>
    <row r="678" spans="2:38" s="930" customFormat="1" ht="20.25" customHeight="1" x14ac:dyDescent="0.2">
      <c r="B678" s="936"/>
      <c r="C678" s="936"/>
      <c r="D678" s="936"/>
      <c r="E678" s="936"/>
      <c r="AH678" s="983"/>
      <c r="AI678" s="983"/>
      <c r="AJ678" s="968"/>
      <c r="AL678" s="937"/>
    </row>
    <row r="679" spans="2:38" s="930" customFormat="1" ht="20.25" customHeight="1" x14ac:dyDescent="0.2">
      <c r="B679" s="936"/>
      <c r="C679" s="936"/>
      <c r="D679" s="936"/>
      <c r="E679" s="936"/>
      <c r="AH679" s="983"/>
      <c r="AI679" s="983"/>
      <c r="AJ679" s="968"/>
      <c r="AL679" s="937"/>
    </row>
    <row r="680" spans="2:38" s="930" customFormat="1" ht="20.25" customHeight="1" x14ac:dyDescent="0.2">
      <c r="B680" s="936"/>
      <c r="C680" s="936"/>
      <c r="D680" s="936"/>
      <c r="E680" s="936"/>
      <c r="AH680" s="983"/>
      <c r="AI680" s="983"/>
      <c r="AJ680" s="968"/>
      <c r="AL680" s="937"/>
    </row>
    <row r="681" spans="2:38" s="930" customFormat="1" ht="20.25" customHeight="1" x14ac:dyDescent="0.2">
      <c r="B681" s="936"/>
      <c r="C681" s="936"/>
      <c r="D681" s="936"/>
      <c r="E681" s="936"/>
      <c r="AH681" s="983"/>
      <c r="AI681" s="983"/>
      <c r="AJ681" s="968"/>
      <c r="AL681" s="937"/>
    </row>
    <row r="682" spans="2:38" s="930" customFormat="1" ht="20.25" customHeight="1" x14ac:dyDescent="0.2">
      <c r="B682" s="936"/>
      <c r="C682" s="936"/>
      <c r="D682" s="936"/>
      <c r="E682" s="936"/>
      <c r="AH682" s="983"/>
      <c r="AI682" s="983"/>
      <c r="AJ682" s="968"/>
      <c r="AL682" s="937"/>
    </row>
    <row r="683" spans="2:38" s="930" customFormat="1" ht="20.25" customHeight="1" x14ac:dyDescent="0.2">
      <c r="B683" s="936"/>
      <c r="C683" s="936"/>
      <c r="D683" s="936"/>
      <c r="E683" s="936"/>
      <c r="AH683" s="983"/>
      <c r="AI683" s="983"/>
      <c r="AJ683" s="968"/>
      <c r="AL683" s="937"/>
    </row>
    <row r="684" spans="2:38" s="930" customFormat="1" ht="20.25" customHeight="1" x14ac:dyDescent="0.2">
      <c r="B684" s="936"/>
      <c r="C684" s="936"/>
      <c r="D684" s="936"/>
      <c r="E684" s="936"/>
      <c r="AH684" s="983"/>
      <c r="AI684" s="983"/>
      <c r="AJ684" s="968"/>
      <c r="AL684" s="937"/>
    </row>
    <row r="685" spans="2:38" s="930" customFormat="1" ht="20.25" customHeight="1" x14ac:dyDescent="0.2">
      <c r="B685" s="936"/>
      <c r="C685" s="936"/>
      <c r="D685" s="936"/>
      <c r="E685" s="936"/>
      <c r="AH685" s="983"/>
      <c r="AI685" s="983"/>
      <c r="AJ685" s="968"/>
      <c r="AL685" s="937"/>
    </row>
    <row r="686" spans="2:38" s="930" customFormat="1" ht="20.25" customHeight="1" x14ac:dyDescent="0.2">
      <c r="B686" s="936"/>
      <c r="C686" s="936"/>
      <c r="D686" s="936"/>
      <c r="E686" s="936"/>
      <c r="AH686" s="983"/>
      <c r="AI686" s="983"/>
      <c r="AJ686" s="968"/>
      <c r="AL686" s="937"/>
    </row>
    <row r="687" spans="2:38" s="930" customFormat="1" ht="20.25" customHeight="1" x14ac:dyDescent="0.2">
      <c r="B687" s="936"/>
      <c r="C687" s="936"/>
      <c r="D687" s="936"/>
      <c r="E687" s="936"/>
      <c r="AH687" s="983"/>
      <c r="AI687" s="983"/>
      <c r="AJ687" s="968"/>
      <c r="AL687" s="937"/>
    </row>
    <row r="688" spans="2:38" s="930" customFormat="1" ht="20.25" customHeight="1" x14ac:dyDescent="0.2">
      <c r="B688" s="936"/>
      <c r="C688" s="936"/>
      <c r="D688" s="936"/>
      <c r="E688" s="936"/>
      <c r="AH688" s="983"/>
      <c r="AI688" s="983"/>
      <c r="AJ688" s="968"/>
      <c r="AL688" s="937"/>
    </row>
    <row r="689" spans="2:38" s="930" customFormat="1" ht="20.25" customHeight="1" x14ac:dyDescent="0.2">
      <c r="B689" s="936"/>
      <c r="C689" s="936"/>
      <c r="D689" s="936"/>
      <c r="E689" s="936"/>
      <c r="AH689" s="983"/>
      <c r="AI689" s="983"/>
      <c r="AJ689" s="968"/>
      <c r="AL689" s="937"/>
    </row>
    <row r="690" spans="2:38" s="930" customFormat="1" ht="20.25" customHeight="1" x14ac:dyDescent="0.2">
      <c r="B690" s="936"/>
      <c r="C690" s="936"/>
      <c r="D690" s="936"/>
      <c r="E690" s="936"/>
      <c r="AH690" s="983"/>
      <c r="AI690" s="983"/>
      <c r="AJ690" s="968"/>
      <c r="AL690" s="937"/>
    </row>
    <row r="691" spans="2:38" s="930" customFormat="1" ht="20.25" customHeight="1" x14ac:dyDescent="0.2">
      <c r="B691" s="936"/>
      <c r="C691" s="936"/>
      <c r="D691" s="936"/>
      <c r="E691" s="936"/>
      <c r="AH691" s="983"/>
      <c r="AI691" s="983"/>
      <c r="AJ691" s="968"/>
      <c r="AL691" s="937"/>
    </row>
    <row r="692" spans="2:38" s="930" customFormat="1" ht="20.25" customHeight="1" x14ac:dyDescent="0.2">
      <c r="B692" s="936"/>
      <c r="C692" s="936"/>
      <c r="D692" s="936"/>
      <c r="E692" s="936"/>
      <c r="AH692" s="983"/>
      <c r="AI692" s="983"/>
      <c r="AJ692" s="968"/>
      <c r="AL692" s="937"/>
    </row>
    <row r="693" spans="2:38" s="930" customFormat="1" ht="20.25" customHeight="1" x14ac:dyDescent="0.2">
      <c r="B693" s="936"/>
      <c r="C693" s="936"/>
      <c r="D693" s="936"/>
      <c r="E693" s="936"/>
      <c r="AH693" s="983"/>
      <c r="AI693" s="983"/>
      <c r="AJ693" s="968"/>
      <c r="AL693" s="937"/>
    </row>
    <row r="694" spans="2:38" s="930" customFormat="1" ht="20.25" customHeight="1" x14ac:dyDescent="0.2">
      <c r="B694" s="936"/>
      <c r="C694" s="936"/>
      <c r="D694" s="936"/>
      <c r="E694" s="936"/>
      <c r="AH694" s="983"/>
      <c r="AI694" s="983"/>
      <c r="AJ694" s="968"/>
      <c r="AL694" s="937"/>
    </row>
    <row r="695" spans="2:38" s="930" customFormat="1" ht="20.25" customHeight="1" x14ac:dyDescent="0.2">
      <c r="B695" s="936"/>
      <c r="C695" s="936"/>
      <c r="D695" s="936"/>
      <c r="E695" s="936"/>
      <c r="AH695" s="983"/>
      <c r="AI695" s="983"/>
      <c r="AJ695" s="968"/>
      <c r="AL695" s="937"/>
    </row>
    <row r="696" spans="2:38" s="930" customFormat="1" ht="20.25" customHeight="1" x14ac:dyDescent="0.2">
      <c r="B696" s="936"/>
      <c r="C696" s="936"/>
      <c r="D696" s="936"/>
      <c r="E696" s="936"/>
      <c r="AH696" s="983"/>
      <c r="AI696" s="983"/>
      <c r="AJ696" s="968"/>
      <c r="AL696" s="937"/>
    </row>
    <row r="697" spans="2:38" s="930" customFormat="1" ht="20.25" customHeight="1" x14ac:dyDescent="0.2">
      <c r="B697" s="936"/>
      <c r="C697" s="936"/>
      <c r="D697" s="936"/>
      <c r="E697" s="936"/>
      <c r="AH697" s="983"/>
      <c r="AI697" s="983"/>
      <c r="AJ697" s="968"/>
      <c r="AL697" s="937"/>
    </row>
    <row r="698" spans="2:38" s="930" customFormat="1" ht="20.25" customHeight="1" x14ac:dyDescent="0.2">
      <c r="B698" s="936"/>
      <c r="C698" s="936"/>
      <c r="D698" s="936"/>
      <c r="E698" s="936"/>
      <c r="AH698" s="983"/>
      <c r="AI698" s="983"/>
      <c r="AJ698" s="968"/>
      <c r="AL698" s="937"/>
    </row>
    <row r="699" spans="2:38" s="930" customFormat="1" ht="20.25" customHeight="1" x14ac:dyDescent="0.2">
      <c r="B699" s="936"/>
      <c r="C699" s="936"/>
      <c r="D699" s="936"/>
      <c r="E699" s="936"/>
      <c r="AH699" s="983"/>
      <c r="AI699" s="983"/>
      <c r="AJ699" s="968"/>
      <c r="AL699" s="937"/>
    </row>
    <row r="700" spans="2:38" s="930" customFormat="1" ht="20.25" customHeight="1" x14ac:dyDescent="0.2">
      <c r="B700" s="936"/>
      <c r="C700" s="936"/>
      <c r="D700" s="936"/>
      <c r="E700" s="936"/>
      <c r="AH700" s="983"/>
      <c r="AI700" s="983"/>
      <c r="AJ700" s="968"/>
      <c r="AL700" s="937"/>
    </row>
    <row r="701" spans="2:38" s="930" customFormat="1" ht="20.25" customHeight="1" x14ac:dyDescent="0.2">
      <c r="B701" s="936"/>
      <c r="C701" s="936"/>
      <c r="D701" s="936"/>
      <c r="E701" s="936"/>
      <c r="AH701" s="983"/>
      <c r="AI701" s="983"/>
      <c r="AJ701" s="968"/>
      <c r="AL701" s="937"/>
    </row>
    <row r="702" spans="2:38" s="930" customFormat="1" ht="20.25" customHeight="1" x14ac:dyDescent="0.2">
      <c r="B702" s="936"/>
      <c r="C702" s="936"/>
      <c r="D702" s="936"/>
      <c r="E702" s="936"/>
      <c r="AH702" s="983"/>
      <c r="AI702" s="983"/>
      <c r="AJ702" s="968"/>
      <c r="AL702" s="937"/>
    </row>
    <row r="703" spans="2:38" s="930" customFormat="1" ht="20.25" customHeight="1" x14ac:dyDescent="0.2">
      <c r="B703" s="936"/>
      <c r="C703" s="936"/>
      <c r="D703" s="936"/>
      <c r="E703" s="936"/>
      <c r="AH703" s="983"/>
      <c r="AI703" s="983"/>
      <c r="AJ703" s="968"/>
      <c r="AL703" s="937"/>
    </row>
    <row r="704" spans="2:38" s="930" customFormat="1" ht="20.25" customHeight="1" x14ac:dyDescent="0.2">
      <c r="B704" s="936"/>
      <c r="C704" s="936"/>
      <c r="D704" s="936"/>
      <c r="E704" s="936"/>
      <c r="AH704" s="983"/>
      <c r="AI704" s="983"/>
      <c r="AJ704" s="968"/>
      <c r="AL704" s="937"/>
    </row>
    <row r="705" spans="2:38" s="930" customFormat="1" ht="20.25" customHeight="1" x14ac:dyDescent="0.2">
      <c r="B705" s="936"/>
      <c r="C705" s="936"/>
      <c r="D705" s="936"/>
      <c r="E705" s="936"/>
      <c r="AH705" s="983"/>
      <c r="AI705" s="983"/>
      <c r="AJ705" s="968"/>
      <c r="AL705" s="937"/>
    </row>
    <row r="706" spans="2:38" s="930" customFormat="1" ht="20.25" customHeight="1" x14ac:dyDescent="0.2">
      <c r="B706" s="936"/>
      <c r="C706" s="936"/>
      <c r="D706" s="936"/>
      <c r="E706" s="936"/>
      <c r="AH706" s="983"/>
      <c r="AI706" s="983"/>
      <c r="AJ706" s="968"/>
      <c r="AL706" s="937"/>
    </row>
    <row r="707" spans="2:38" s="930" customFormat="1" ht="20.25" customHeight="1" x14ac:dyDescent="0.2">
      <c r="B707" s="936"/>
      <c r="C707" s="936"/>
      <c r="D707" s="936"/>
      <c r="E707" s="936"/>
      <c r="AH707" s="983"/>
      <c r="AI707" s="983"/>
      <c r="AJ707" s="968"/>
      <c r="AL707" s="937"/>
    </row>
    <row r="708" spans="2:38" s="930" customFormat="1" ht="20.25" customHeight="1" x14ac:dyDescent="0.2">
      <c r="B708" s="936"/>
      <c r="C708" s="936"/>
      <c r="D708" s="936"/>
      <c r="E708" s="936"/>
      <c r="AH708" s="983"/>
      <c r="AI708" s="983"/>
      <c r="AJ708" s="968"/>
      <c r="AL708" s="937"/>
    </row>
    <row r="709" spans="2:38" s="930" customFormat="1" ht="20.25" customHeight="1" x14ac:dyDescent="0.2">
      <c r="B709" s="936"/>
      <c r="C709" s="936"/>
      <c r="D709" s="936"/>
      <c r="E709" s="936"/>
      <c r="AH709" s="983"/>
      <c r="AI709" s="983"/>
      <c r="AJ709" s="968"/>
      <c r="AL709" s="937"/>
    </row>
    <row r="710" spans="2:38" s="930" customFormat="1" ht="20.25" customHeight="1" x14ac:dyDescent="0.2">
      <c r="B710" s="936"/>
      <c r="C710" s="936"/>
      <c r="D710" s="936"/>
      <c r="E710" s="936"/>
      <c r="AH710" s="983"/>
      <c r="AI710" s="983"/>
      <c r="AJ710" s="968"/>
      <c r="AL710" s="937"/>
    </row>
    <row r="711" spans="2:38" s="930" customFormat="1" ht="20.25" customHeight="1" x14ac:dyDescent="0.2">
      <c r="B711" s="936"/>
      <c r="C711" s="936"/>
      <c r="D711" s="936"/>
      <c r="E711" s="936"/>
      <c r="AH711" s="983"/>
      <c r="AI711" s="983"/>
      <c r="AJ711" s="968"/>
      <c r="AL711" s="937"/>
    </row>
    <row r="712" spans="2:38" s="930" customFormat="1" ht="20.25" customHeight="1" x14ac:dyDescent="0.2">
      <c r="B712" s="936"/>
      <c r="C712" s="936"/>
      <c r="D712" s="936"/>
      <c r="E712" s="936"/>
      <c r="AH712" s="983"/>
      <c r="AI712" s="983"/>
      <c r="AJ712" s="968"/>
      <c r="AL712" s="937"/>
    </row>
    <row r="713" spans="2:38" s="930" customFormat="1" ht="20.25" customHeight="1" x14ac:dyDescent="0.2">
      <c r="B713" s="936"/>
      <c r="C713" s="936"/>
      <c r="D713" s="936"/>
      <c r="E713" s="936"/>
      <c r="AH713" s="983"/>
      <c r="AI713" s="983"/>
      <c r="AJ713" s="968"/>
      <c r="AL713" s="937"/>
    </row>
    <row r="714" spans="2:38" s="930" customFormat="1" ht="20.25" customHeight="1" x14ac:dyDescent="0.2">
      <c r="B714" s="936"/>
      <c r="C714" s="936"/>
      <c r="D714" s="936"/>
      <c r="E714" s="936"/>
      <c r="AH714" s="983"/>
      <c r="AI714" s="983"/>
      <c r="AJ714" s="968"/>
      <c r="AL714" s="937"/>
    </row>
    <row r="715" spans="2:38" s="930" customFormat="1" ht="20.25" customHeight="1" x14ac:dyDescent="0.2">
      <c r="B715" s="936"/>
      <c r="C715" s="936"/>
      <c r="D715" s="936"/>
      <c r="E715" s="936"/>
      <c r="AH715" s="983"/>
      <c r="AI715" s="983"/>
      <c r="AJ715" s="968"/>
      <c r="AL715" s="937"/>
    </row>
    <row r="716" spans="2:38" s="930" customFormat="1" ht="20.25" customHeight="1" x14ac:dyDescent="0.2">
      <c r="B716" s="936"/>
      <c r="C716" s="936"/>
      <c r="D716" s="936"/>
      <c r="E716" s="936"/>
      <c r="AH716" s="983"/>
      <c r="AI716" s="983"/>
      <c r="AJ716" s="968"/>
      <c r="AL716" s="937"/>
    </row>
    <row r="717" spans="2:38" s="930" customFormat="1" ht="20.25" customHeight="1" x14ac:dyDescent="0.2">
      <c r="B717" s="936"/>
      <c r="C717" s="936"/>
      <c r="D717" s="936"/>
      <c r="E717" s="936"/>
      <c r="AH717" s="983"/>
      <c r="AI717" s="983"/>
      <c r="AJ717" s="968"/>
      <c r="AL717" s="937"/>
    </row>
    <row r="718" spans="2:38" s="930" customFormat="1" ht="20.25" customHeight="1" x14ac:dyDescent="0.2">
      <c r="B718" s="936"/>
      <c r="C718" s="936"/>
      <c r="D718" s="936"/>
      <c r="E718" s="936"/>
      <c r="AH718" s="983"/>
      <c r="AI718" s="983"/>
      <c r="AJ718" s="968"/>
      <c r="AL718" s="937"/>
    </row>
    <row r="719" spans="2:38" s="930" customFormat="1" ht="20.25" customHeight="1" x14ac:dyDescent="0.2">
      <c r="B719" s="936"/>
      <c r="C719" s="936"/>
      <c r="D719" s="936"/>
      <c r="E719" s="936"/>
      <c r="AH719" s="983"/>
      <c r="AI719" s="983"/>
      <c r="AJ719" s="968"/>
      <c r="AL719" s="937"/>
    </row>
    <row r="720" spans="2:38" s="930" customFormat="1" ht="20.25" customHeight="1" x14ac:dyDescent="0.2">
      <c r="B720" s="936"/>
      <c r="C720" s="936"/>
      <c r="D720" s="936"/>
      <c r="E720" s="936"/>
      <c r="AH720" s="983"/>
      <c r="AI720" s="983"/>
      <c r="AJ720" s="968"/>
      <c r="AL720" s="937"/>
    </row>
    <row r="721" spans="2:38" s="930" customFormat="1" ht="20.25" customHeight="1" x14ac:dyDescent="0.2">
      <c r="B721" s="936"/>
      <c r="C721" s="936"/>
      <c r="D721" s="936"/>
      <c r="E721" s="936"/>
      <c r="AH721" s="983"/>
      <c r="AI721" s="983"/>
      <c r="AJ721" s="968"/>
      <c r="AL721" s="937"/>
    </row>
    <row r="722" spans="2:38" s="930" customFormat="1" ht="20.25" customHeight="1" x14ac:dyDescent="0.2">
      <c r="B722" s="936"/>
      <c r="C722" s="936"/>
      <c r="D722" s="936"/>
      <c r="E722" s="936"/>
      <c r="AH722" s="983"/>
      <c r="AI722" s="983"/>
      <c r="AJ722" s="968"/>
      <c r="AL722" s="937"/>
    </row>
    <row r="723" spans="2:38" s="930" customFormat="1" ht="20.25" customHeight="1" x14ac:dyDescent="0.2">
      <c r="B723" s="936"/>
      <c r="C723" s="936"/>
      <c r="D723" s="936"/>
      <c r="E723" s="936"/>
      <c r="AH723" s="983"/>
      <c r="AI723" s="983"/>
      <c r="AJ723" s="968"/>
      <c r="AL723" s="937"/>
    </row>
    <row r="724" spans="2:38" s="930" customFormat="1" ht="20.25" customHeight="1" x14ac:dyDescent="0.2">
      <c r="B724" s="936"/>
      <c r="C724" s="936"/>
      <c r="D724" s="936"/>
      <c r="E724" s="936"/>
      <c r="AH724" s="983"/>
      <c r="AI724" s="983"/>
      <c r="AJ724" s="968"/>
      <c r="AL724" s="937"/>
    </row>
    <row r="725" spans="2:38" s="930" customFormat="1" ht="20.25" customHeight="1" x14ac:dyDescent="0.2">
      <c r="B725" s="936"/>
      <c r="C725" s="936"/>
      <c r="D725" s="936"/>
      <c r="E725" s="936"/>
      <c r="AH725" s="983"/>
      <c r="AI725" s="983"/>
      <c r="AJ725" s="968"/>
      <c r="AL725" s="937"/>
    </row>
    <row r="726" spans="2:38" s="930" customFormat="1" ht="20.25" customHeight="1" x14ac:dyDescent="0.2">
      <c r="B726" s="936"/>
      <c r="C726" s="936"/>
      <c r="D726" s="936"/>
      <c r="E726" s="936"/>
      <c r="AH726" s="983"/>
      <c r="AI726" s="983"/>
      <c r="AJ726" s="968"/>
      <c r="AL726" s="937"/>
    </row>
    <row r="727" spans="2:38" s="930" customFormat="1" ht="20.25" customHeight="1" x14ac:dyDescent="0.2">
      <c r="B727" s="936"/>
      <c r="C727" s="936"/>
      <c r="D727" s="936"/>
      <c r="E727" s="936"/>
      <c r="AH727" s="983"/>
      <c r="AI727" s="983"/>
      <c r="AJ727" s="968"/>
      <c r="AL727" s="937"/>
    </row>
    <row r="728" spans="2:38" s="930" customFormat="1" ht="20.25" customHeight="1" x14ac:dyDescent="0.2">
      <c r="B728" s="936"/>
      <c r="C728" s="936"/>
      <c r="D728" s="936"/>
      <c r="E728" s="936"/>
      <c r="AH728" s="983"/>
      <c r="AI728" s="983"/>
      <c r="AJ728" s="968"/>
      <c r="AL728" s="937"/>
    </row>
    <row r="729" spans="2:38" s="930" customFormat="1" ht="20.25" customHeight="1" x14ac:dyDescent="0.2">
      <c r="B729" s="936"/>
      <c r="C729" s="936"/>
      <c r="D729" s="936"/>
      <c r="E729" s="936"/>
      <c r="AH729" s="983"/>
      <c r="AI729" s="983"/>
      <c r="AJ729" s="968"/>
      <c r="AL729" s="937"/>
    </row>
    <row r="730" spans="2:38" s="930" customFormat="1" ht="20.25" customHeight="1" x14ac:dyDescent="0.2">
      <c r="B730" s="936"/>
      <c r="C730" s="936"/>
      <c r="D730" s="936"/>
      <c r="E730" s="936"/>
      <c r="AH730" s="983"/>
      <c r="AI730" s="983"/>
      <c r="AJ730" s="968"/>
      <c r="AL730" s="937"/>
    </row>
    <row r="731" spans="2:38" s="930" customFormat="1" ht="20.25" customHeight="1" x14ac:dyDescent="0.2">
      <c r="B731" s="936"/>
      <c r="C731" s="936"/>
      <c r="D731" s="936"/>
      <c r="E731" s="936"/>
      <c r="AH731" s="983"/>
      <c r="AI731" s="983"/>
      <c r="AJ731" s="968"/>
      <c r="AL731" s="937"/>
    </row>
    <row r="732" spans="2:38" s="930" customFormat="1" ht="20.25" customHeight="1" x14ac:dyDescent="0.2">
      <c r="B732" s="936"/>
      <c r="C732" s="936"/>
      <c r="D732" s="936"/>
      <c r="E732" s="936"/>
      <c r="AH732" s="983"/>
      <c r="AI732" s="983"/>
      <c r="AJ732" s="968"/>
      <c r="AL732" s="937"/>
    </row>
    <row r="733" spans="2:38" s="930" customFormat="1" ht="20.25" customHeight="1" x14ac:dyDescent="0.2">
      <c r="B733" s="936"/>
      <c r="C733" s="936"/>
      <c r="D733" s="936"/>
      <c r="E733" s="936"/>
      <c r="AH733" s="983"/>
      <c r="AI733" s="983"/>
      <c r="AJ733" s="968"/>
      <c r="AL733" s="937"/>
    </row>
    <row r="734" spans="2:38" s="930" customFormat="1" ht="20.25" customHeight="1" x14ac:dyDescent="0.2">
      <c r="B734" s="936"/>
      <c r="C734" s="936"/>
      <c r="D734" s="936"/>
      <c r="E734" s="936"/>
      <c r="AH734" s="983"/>
      <c r="AI734" s="983"/>
      <c r="AJ734" s="968"/>
      <c r="AL734" s="937"/>
    </row>
    <row r="735" spans="2:38" s="930" customFormat="1" ht="20.25" customHeight="1" x14ac:dyDescent="0.2">
      <c r="B735" s="936"/>
      <c r="C735" s="936"/>
      <c r="D735" s="936"/>
      <c r="E735" s="936"/>
      <c r="AH735" s="983"/>
      <c r="AI735" s="983"/>
      <c r="AJ735" s="968"/>
      <c r="AL735" s="937"/>
    </row>
    <row r="736" spans="2:38" s="930" customFormat="1" ht="20.25" customHeight="1" x14ac:dyDescent="0.2">
      <c r="B736" s="936"/>
      <c r="C736" s="936"/>
      <c r="D736" s="936"/>
      <c r="E736" s="936"/>
      <c r="AH736" s="983"/>
      <c r="AI736" s="983"/>
      <c r="AJ736" s="968"/>
      <c r="AL736" s="937"/>
    </row>
    <row r="737" spans="2:38" s="930" customFormat="1" ht="20.25" customHeight="1" x14ac:dyDescent="0.2">
      <c r="B737" s="936"/>
      <c r="C737" s="936"/>
      <c r="D737" s="936"/>
      <c r="E737" s="936"/>
      <c r="AH737" s="983"/>
      <c r="AI737" s="983"/>
      <c r="AJ737" s="968"/>
      <c r="AL737" s="937"/>
    </row>
    <row r="738" spans="2:38" s="930" customFormat="1" ht="20.25" customHeight="1" x14ac:dyDescent="0.2">
      <c r="B738" s="936"/>
      <c r="C738" s="936"/>
      <c r="D738" s="936"/>
      <c r="E738" s="936"/>
      <c r="AH738" s="983"/>
      <c r="AI738" s="983"/>
      <c r="AJ738" s="968"/>
      <c r="AL738" s="937"/>
    </row>
    <row r="739" spans="2:38" s="930" customFormat="1" ht="20.25" customHeight="1" x14ac:dyDescent="0.2">
      <c r="B739" s="936"/>
      <c r="C739" s="936"/>
      <c r="D739" s="936"/>
      <c r="E739" s="936"/>
      <c r="AH739" s="983"/>
      <c r="AI739" s="983"/>
      <c r="AJ739" s="968"/>
      <c r="AL739" s="937"/>
    </row>
    <row r="740" spans="2:38" s="930" customFormat="1" ht="20.25" customHeight="1" x14ac:dyDescent="0.2">
      <c r="B740" s="936"/>
      <c r="C740" s="936"/>
      <c r="D740" s="936"/>
      <c r="E740" s="936"/>
      <c r="AH740" s="983"/>
      <c r="AI740" s="983"/>
      <c r="AJ740" s="968"/>
      <c r="AL740" s="937"/>
    </row>
    <row r="741" spans="2:38" s="930" customFormat="1" ht="20.25" customHeight="1" x14ac:dyDescent="0.2">
      <c r="B741" s="936"/>
      <c r="C741" s="936"/>
      <c r="D741" s="936"/>
      <c r="E741" s="936"/>
      <c r="AH741" s="983"/>
      <c r="AI741" s="983"/>
      <c r="AJ741" s="968"/>
      <c r="AL741" s="937"/>
    </row>
    <row r="742" spans="2:38" s="930" customFormat="1" ht="20.25" customHeight="1" x14ac:dyDescent="0.2">
      <c r="B742" s="936"/>
      <c r="C742" s="936"/>
      <c r="D742" s="936"/>
      <c r="E742" s="936"/>
      <c r="AH742" s="983"/>
      <c r="AI742" s="983"/>
      <c r="AJ742" s="968"/>
      <c r="AL742" s="937"/>
    </row>
    <row r="743" spans="2:38" s="930" customFormat="1" ht="20.25" customHeight="1" x14ac:dyDescent="0.2">
      <c r="B743" s="936"/>
      <c r="C743" s="936"/>
      <c r="D743" s="936"/>
      <c r="E743" s="936"/>
      <c r="AH743" s="983"/>
      <c r="AI743" s="983"/>
      <c r="AJ743" s="968"/>
      <c r="AL743" s="937"/>
    </row>
    <row r="744" spans="2:38" s="930" customFormat="1" ht="20.25" customHeight="1" x14ac:dyDescent="0.2">
      <c r="B744" s="936"/>
      <c r="C744" s="936"/>
      <c r="D744" s="936"/>
      <c r="E744" s="936"/>
      <c r="AH744" s="983"/>
      <c r="AI744" s="983"/>
      <c r="AJ744" s="968"/>
      <c r="AL744" s="937"/>
    </row>
    <row r="745" spans="2:38" s="930" customFormat="1" ht="20.25" customHeight="1" x14ac:dyDescent="0.2">
      <c r="B745" s="936"/>
      <c r="C745" s="936"/>
      <c r="D745" s="936"/>
      <c r="E745" s="936"/>
      <c r="AH745" s="983"/>
      <c r="AI745" s="983"/>
      <c r="AJ745" s="968"/>
      <c r="AL745" s="937"/>
    </row>
    <row r="746" spans="2:38" s="930" customFormat="1" ht="20.25" customHeight="1" x14ac:dyDescent="0.2">
      <c r="B746" s="936"/>
      <c r="C746" s="936"/>
      <c r="D746" s="936"/>
      <c r="E746" s="936"/>
      <c r="AH746" s="983"/>
      <c r="AI746" s="983"/>
      <c r="AJ746" s="968"/>
      <c r="AL746" s="937"/>
    </row>
    <row r="747" spans="2:38" s="930" customFormat="1" ht="20.25" customHeight="1" x14ac:dyDescent="0.2">
      <c r="B747" s="936"/>
      <c r="C747" s="936"/>
      <c r="D747" s="936"/>
      <c r="E747" s="936"/>
      <c r="AH747" s="983"/>
      <c r="AI747" s="983"/>
      <c r="AJ747" s="968"/>
      <c r="AL747" s="937"/>
    </row>
    <row r="748" spans="2:38" s="930" customFormat="1" ht="20.25" customHeight="1" x14ac:dyDescent="0.2">
      <c r="B748" s="936"/>
      <c r="C748" s="936"/>
      <c r="D748" s="936"/>
      <c r="E748" s="936"/>
      <c r="AH748" s="983"/>
      <c r="AI748" s="983"/>
      <c r="AJ748" s="968"/>
      <c r="AL748" s="937"/>
    </row>
    <row r="749" spans="2:38" s="930" customFormat="1" ht="20.25" customHeight="1" x14ac:dyDescent="0.2">
      <c r="B749" s="936"/>
      <c r="C749" s="936"/>
      <c r="D749" s="936"/>
      <c r="E749" s="936"/>
      <c r="AH749" s="983"/>
      <c r="AI749" s="983"/>
      <c r="AJ749" s="968"/>
      <c r="AL749" s="937"/>
    </row>
    <row r="750" spans="2:38" s="930" customFormat="1" ht="20.25" customHeight="1" x14ac:dyDescent="0.2">
      <c r="B750" s="936"/>
      <c r="C750" s="936"/>
      <c r="D750" s="936"/>
      <c r="E750" s="936"/>
      <c r="AH750" s="983"/>
      <c r="AI750" s="983"/>
      <c r="AJ750" s="968"/>
      <c r="AL750" s="937"/>
    </row>
    <row r="751" spans="2:38" s="930" customFormat="1" ht="20.25" customHeight="1" x14ac:dyDescent="0.2">
      <c r="B751" s="936"/>
      <c r="C751" s="936"/>
      <c r="D751" s="936"/>
      <c r="E751" s="936"/>
      <c r="AH751" s="983"/>
      <c r="AI751" s="983"/>
      <c r="AJ751" s="968"/>
      <c r="AL751" s="937"/>
    </row>
    <row r="752" spans="2:38" s="930" customFormat="1" ht="20.25" customHeight="1" x14ac:dyDescent="0.2">
      <c r="B752" s="936"/>
      <c r="C752" s="936"/>
      <c r="D752" s="936"/>
      <c r="E752" s="936"/>
      <c r="AH752" s="983"/>
      <c r="AI752" s="983"/>
      <c r="AJ752" s="968"/>
      <c r="AL752" s="937"/>
    </row>
    <row r="753" spans="2:38" s="930" customFormat="1" ht="20.25" customHeight="1" x14ac:dyDescent="0.2">
      <c r="B753" s="936"/>
      <c r="C753" s="936"/>
      <c r="D753" s="936"/>
      <c r="E753" s="936"/>
      <c r="AH753" s="983"/>
      <c r="AI753" s="983"/>
      <c r="AJ753" s="968"/>
      <c r="AL753" s="937"/>
    </row>
    <row r="754" spans="2:38" s="930" customFormat="1" ht="20.25" customHeight="1" x14ac:dyDescent="0.2">
      <c r="B754" s="936"/>
      <c r="C754" s="936"/>
      <c r="D754" s="936"/>
      <c r="E754" s="936"/>
      <c r="AH754" s="983"/>
      <c r="AI754" s="983"/>
      <c r="AJ754" s="968"/>
      <c r="AL754" s="937"/>
    </row>
    <row r="755" spans="2:38" s="930" customFormat="1" ht="20.25" customHeight="1" x14ac:dyDescent="0.2">
      <c r="B755" s="936"/>
      <c r="C755" s="936"/>
      <c r="D755" s="936"/>
      <c r="E755" s="936"/>
      <c r="AH755" s="983"/>
      <c r="AI755" s="983"/>
      <c r="AJ755" s="968"/>
      <c r="AL755" s="937"/>
    </row>
    <row r="756" spans="2:38" s="930" customFormat="1" ht="20.25" customHeight="1" x14ac:dyDescent="0.2">
      <c r="B756" s="936"/>
      <c r="C756" s="936"/>
      <c r="D756" s="936"/>
      <c r="E756" s="936"/>
      <c r="AH756" s="983"/>
      <c r="AI756" s="983"/>
      <c r="AJ756" s="968"/>
      <c r="AL756" s="937"/>
    </row>
    <row r="757" spans="2:38" s="930" customFormat="1" ht="20.25" customHeight="1" x14ac:dyDescent="0.2">
      <c r="B757" s="936"/>
      <c r="C757" s="936"/>
      <c r="D757" s="936"/>
      <c r="E757" s="936"/>
      <c r="AH757" s="983"/>
      <c r="AI757" s="983"/>
      <c r="AJ757" s="968"/>
      <c r="AL757" s="937"/>
    </row>
    <row r="758" spans="2:38" s="930" customFormat="1" ht="20.25" customHeight="1" x14ac:dyDescent="0.2">
      <c r="B758" s="936"/>
      <c r="C758" s="936"/>
      <c r="D758" s="936"/>
      <c r="E758" s="936"/>
      <c r="AH758" s="983"/>
      <c r="AI758" s="983"/>
      <c r="AJ758" s="968"/>
      <c r="AL758" s="937"/>
    </row>
    <row r="759" spans="2:38" s="930" customFormat="1" ht="20.25" customHeight="1" x14ac:dyDescent="0.2">
      <c r="B759" s="936"/>
      <c r="C759" s="936"/>
      <c r="D759" s="936"/>
      <c r="E759" s="936"/>
      <c r="AH759" s="983"/>
      <c r="AI759" s="983"/>
      <c r="AJ759" s="968"/>
      <c r="AL759" s="937"/>
    </row>
    <row r="760" spans="2:38" s="930" customFormat="1" ht="20.25" customHeight="1" x14ac:dyDescent="0.2">
      <c r="B760" s="936"/>
      <c r="C760" s="936"/>
      <c r="D760" s="936"/>
      <c r="E760" s="936"/>
      <c r="AH760" s="983"/>
      <c r="AI760" s="983"/>
      <c r="AJ760" s="968"/>
      <c r="AL760" s="937"/>
    </row>
    <row r="761" spans="2:38" s="930" customFormat="1" ht="20.25" customHeight="1" x14ac:dyDescent="0.2">
      <c r="B761" s="936"/>
      <c r="C761" s="936"/>
      <c r="D761" s="936"/>
      <c r="E761" s="936"/>
      <c r="AH761" s="983"/>
      <c r="AI761" s="983"/>
      <c r="AJ761" s="968"/>
      <c r="AL761" s="937"/>
    </row>
    <row r="762" spans="2:38" s="930" customFormat="1" ht="20.25" customHeight="1" x14ac:dyDescent="0.2">
      <c r="B762" s="936"/>
      <c r="C762" s="936"/>
      <c r="D762" s="936"/>
      <c r="E762" s="936"/>
      <c r="AH762" s="983"/>
      <c r="AI762" s="983"/>
      <c r="AJ762" s="968"/>
      <c r="AL762" s="937"/>
    </row>
    <row r="763" spans="2:38" s="930" customFormat="1" ht="20.25" customHeight="1" x14ac:dyDescent="0.2">
      <c r="B763" s="936"/>
      <c r="C763" s="936"/>
      <c r="D763" s="936"/>
      <c r="E763" s="936"/>
      <c r="AH763" s="983"/>
      <c r="AI763" s="983"/>
      <c r="AJ763" s="968"/>
      <c r="AL763" s="937"/>
    </row>
    <row r="764" spans="2:38" s="930" customFormat="1" ht="20.25" customHeight="1" x14ac:dyDescent="0.2">
      <c r="B764" s="936"/>
      <c r="C764" s="936"/>
      <c r="D764" s="936"/>
      <c r="E764" s="936"/>
      <c r="AH764" s="983"/>
      <c r="AI764" s="983"/>
      <c r="AJ764" s="968"/>
      <c r="AL764" s="937"/>
    </row>
    <row r="765" spans="2:38" s="930" customFormat="1" ht="20.25" customHeight="1" x14ac:dyDescent="0.2">
      <c r="B765" s="936"/>
      <c r="C765" s="936"/>
      <c r="D765" s="936"/>
      <c r="E765" s="936"/>
      <c r="AH765" s="983"/>
      <c r="AI765" s="983"/>
      <c r="AJ765" s="968"/>
      <c r="AL765" s="937"/>
    </row>
    <row r="766" spans="2:38" s="930" customFormat="1" ht="20.25" customHeight="1" x14ac:dyDescent="0.2">
      <c r="B766" s="936"/>
      <c r="C766" s="936"/>
      <c r="D766" s="936"/>
      <c r="E766" s="936"/>
      <c r="AH766" s="983"/>
      <c r="AI766" s="983"/>
      <c r="AJ766" s="968"/>
      <c r="AL766" s="937"/>
    </row>
    <row r="767" spans="2:38" s="930" customFormat="1" ht="20.25" customHeight="1" x14ac:dyDescent="0.2">
      <c r="B767" s="936"/>
      <c r="C767" s="936"/>
      <c r="D767" s="936"/>
      <c r="E767" s="936"/>
      <c r="AH767" s="983"/>
      <c r="AI767" s="983"/>
      <c r="AJ767" s="968"/>
      <c r="AL767" s="937"/>
    </row>
    <row r="768" spans="2:38" s="930" customFormat="1" ht="20.25" customHeight="1" x14ac:dyDescent="0.2">
      <c r="B768" s="936"/>
      <c r="C768" s="936"/>
      <c r="D768" s="936"/>
      <c r="E768" s="936"/>
      <c r="AH768" s="983"/>
      <c r="AI768" s="983"/>
      <c r="AJ768" s="968"/>
      <c r="AL768" s="937"/>
    </row>
    <row r="769" spans="2:38" s="930" customFormat="1" ht="20.25" customHeight="1" x14ac:dyDescent="0.2">
      <c r="B769" s="936"/>
      <c r="C769" s="936"/>
      <c r="D769" s="936"/>
      <c r="E769" s="936"/>
      <c r="AH769" s="983"/>
      <c r="AI769" s="983"/>
      <c r="AJ769" s="968"/>
      <c r="AL769" s="937"/>
    </row>
    <row r="770" spans="2:38" s="930" customFormat="1" ht="20.25" customHeight="1" x14ac:dyDescent="0.2">
      <c r="B770" s="936"/>
      <c r="C770" s="936"/>
      <c r="D770" s="936"/>
      <c r="E770" s="936"/>
      <c r="AH770" s="983"/>
      <c r="AI770" s="983"/>
      <c r="AJ770" s="968"/>
      <c r="AL770" s="937"/>
    </row>
    <row r="771" spans="2:38" s="930" customFormat="1" ht="20.25" customHeight="1" x14ac:dyDescent="0.2">
      <c r="B771" s="936"/>
      <c r="C771" s="936"/>
      <c r="D771" s="936"/>
      <c r="E771" s="936"/>
      <c r="AH771" s="983"/>
      <c r="AI771" s="983"/>
      <c r="AJ771" s="968"/>
      <c r="AL771" s="937"/>
    </row>
    <row r="772" spans="2:38" s="930" customFormat="1" ht="20.25" customHeight="1" x14ac:dyDescent="0.2">
      <c r="B772" s="936"/>
      <c r="C772" s="936"/>
      <c r="D772" s="936"/>
      <c r="E772" s="936"/>
      <c r="AH772" s="983"/>
      <c r="AI772" s="983"/>
      <c r="AJ772" s="968"/>
      <c r="AL772" s="937"/>
    </row>
    <row r="773" spans="2:38" s="930" customFormat="1" ht="20.25" customHeight="1" x14ac:dyDescent="0.2">
      <c r="B773" s="936"/>
      <c r="C773" s="936"/>
      <c r="D773" s="936"/>
      <c r="E773" s="936"/>
      <c r="AH773" s="983"/>
      <c r="AI773" s="983"/>
      <c r="AJ773" s="968"/>
      <c r="AL773" s="937"/>
    </row>
    <row r="774" spans="2:38" s="930" customFormat="1" ht="20.25" customHeight="1" x14ac:dyDescent="0.2">
      <c r="B774" s="936"/>
      <c r="C774" s="936"/>
      <c r="D774" s="936"/>
      <c r="E774" s="936"/>
      <c r="AH774" s="983"/>
      <c r="AI774" s="983"/>
      <c r="AJ774" s="968"/>
      <c r="AL774" s="937"/>
    </row>
    <row r="775" spans="2:38" s="930" customFormat="1" ht="20.25" customHeight="1" x14ac:dyDescent="0.2">
      <c r="B775" s="936"/>
      <c r="C775" s="936"/>
      <c r="D775" s="936"/>
      <c r="E775" s="936"/>
      <c r="AH775" s="983"/>
      <c r="AI775" s="983"/>
      <c r="AJ775" s="968"/>
      <c r="AL775" s="937"/>
    </row>
    <row r="776" spans="2:38" s="930" customFormat="1" ht="20.25" customHeight="1" x14ac:dyDescent="0.2">
      <c r="B776" s="936"/>
      <c r="C776" s="936"/>
      <c r="D776" s="936"/>
      <c r="E776" s="936"/>
      <c r="AH776" s="983"/>
      <c r="AI776" s="983"/>
      <c r="AJ776" s="968"/>
      <c r="AL776" s="937"/>
    </row>
    <row r="777" spans="2:38" s="930" customFormat="1" ht="20.25" customHeight="1" x14ac:dyDescent="0.2">
      <c r="B777" s="936"/>
      <c r="C777" s="936"/>
      <c r="D777" s="936"/>
      <c r="E777" s="936"/>
      <c r="AH777" s="983"/>
      <c r="AI777" s="983"/>
      <c r="AJ777" s="968"/>
      <c r="AL777" s="937"/>
    </row>
    <row r="778" spans="2:38" s="930" customFormat="1" ht="20.25" customHeight="1" x14ac:dyDescent="0.2">
      <c r="B778" s="936"/>
      <c r="C778" s="936"/>
      <c r="D778" s="936"/>
      <c r="E778" s="936"/>
      <c r="AH778" s="983"/>
      <c r="AI778" s="983"/>
      <c r="AJ778" s="968"/>
      <c r="AL778" s="937"/>
    </row>
    <row r="779" spans="2:38" s="930" customFormat="1" ht="20.25" customHeight="1" x14ac:dyDescent="0.2">
      <c r="B779" s="936"/>
      <c r="C779" s="936"/>
      <c r="D779" s="936"/>
      <c r="E779" s="936"/>
      <c r="AH779" s="983"/>
      <c r="AI779" s="983"/>
      <c r="AJ779" s="968"/>
      <c r="AL779" s="937"/>
    </row>
    <row r="780" spans="2:38" s="930" customFormat="1" ht="20.25" customHeight="1" x14ac:dyDescent="0.2">
      <c r="B780" s="936"/>
      <c r="C780" s="936"/>
      <c r="D780" s="936"/>
      <c r="E780" s="936"/>
      <c r="AH780" s="983"/>
      <c r="AI780" s="983"/>
      <c r="AJ780" s="968"/>
      <c r="AL780" s="937"/>
    </row>
    <row r="781" spans="2:38" s="930" customFormat="1" ht="20.25" customHeight="1" x14ac:dyDescent="0.2">
      <c r="B781" s="936"/>
      <c r="C781" s="936"/>
      <c r="D781" s="936"/>
      <c r="E781" s="936"/>
      <c r="AH781" s="983"/>
      <c r="AI781" s="983"/>
      <c r="AJ781" s="968"/>
      <c r="AL781" s="937"/>
    </row>
    <row r="782" spans="2:38" s="930" customFormat="1" ht="20.25" customHeight="1" x14ac:dyDescent="0.2">
      <c r="B782" s="936"/>
      <c r="C782" s="936"/>
      <c r="D782" s="936"/>
      <c r="E782" s="936"/>
      <c r="AH782" s="983"/>
      <c r="AI782" s="983"/>
      <c r="AJ782" s="968"/>
      <c r="AL782" s="937"/>
    </row>
    <row r="783" spans="2:38" s="930" customFormat="1" ht="20.25" customHeight="1" x14ac:dyDescent="0.2">
      <c r="B783" s="936"/>
      <c r="C783" s="936"/>
      <c r="D783" s="936"/>
      <c r="E783" s="936"/>
      <c r="AH783" s="983"/>
      <c r="AI783" s="983"/>
      <c r="AJ783" s="968"/>
      <c r="AL783" s="937"/>
    </row>
    <row r="784" spans="2:38" s="930" customFormat="1" ht="20.25" customHeight="1" x14ac:dyDescent="0.2">
      <c r="B784" s="936"/>
      <c r="C784" s="936"/>
      <c r="D784" s="936"/>
      <c r="E784" s="936"/>
      <c r="AH784" s="983"/>
      <c r="AI784" s="983"/>
      <c r="AJ784" s="968"/>
      <c r="AL784" s="937"/>
    </row>
    <row r="785" spans="2:38" s="930" customFormat="1" ht="20.25" customHeight="1" x14ac:dyDescent="0.2">
      <c r="B785" s="936"/>
      <c r="C785" s="936"/>
      <c r="D785" s="936"/>
      <c r="E785" s="936"/>
      <c r="AH785" s="983"/>
      <c r="AI785" s="983"/>
      <c r="AJ785" s="968"/>
      <c r="AL785" s="937"/>
    </row>
    <row r="786" spans="2:38" s="930" customFormat="1" ht="20.25" customHeight="1" x14ac:dyDescent="0.2">
      <c r="B786" s="936"/>
      <c r="C786" s="936"/>
      <c r="D786" s="936"/>
      <c r="E786" s="936"/>
      <c r="AH786" s="983"/>
      <c r="AI786" s="983"/>
      <c r="AJ786" s="968"/>
      <c r="AL786" s="937"/>
    </row>
    <row r="787" spans="2:38" s="930" customFormat="1" ht="20.25" customHeight="1" x14ac:dyDescent="0.2">
      <c r="B787" s="936"/>
      <c r="C787" s="936"/>
      <c r="D787" s="936"/>
      <c r="E787" s="936"/>
      <c r="AH787" s="983"/>
      <c r="AI787" s="983"/>
      <c r="AJ787" s="968"/>
      <c r="AL787" s="937"/>
    </row>
    <row r="788" spans="2:38" s="930" customFormat="1" ht="20.25" customHeight="1" x14ac:dyDescent="0.2">
      <c r="B788" s="936"/>
      <c r="C788" s="936"/>
      <c r="D788" s="936"/>
      <c r="E788" s="936"/>
      <c r="AH788" s="983"/>
      <c r="AI788" s="983"/>
      <c r="AJ788" s="968"/>
      <c r="AL788" s="937"/>
    </row>
    <row r="789" spans="2:38" s="930" customFormat="1" ht="20.25" customHeight="1" x14ac:dyDescent="0.2">
      <c r="B789" s="936"/>
      <c r="C789" s="936"/>
      <c r="D789" s="936"/>
      <c r="E789" s="936"/>
      <c r="AH789" s="983"/>
      <c r="AI789" s="983"/>
      <c r="AJ789" s="968"/>
      <c r="AL789" s="937"/>
    </row>
    <row r="790" spans="2:38" s="930" customFormat="1" ht="20.25" customHeight="1" x14ac:dyDescent="0.2">
      <c r="B790" s="936"/>
      <c r="C790" s="936"/>
      <c r="D790" s="936"/>
      <c r="E790" s="936"/>
      <c r="AH790" s="983"/>
      <c r="AI790" s="983"/>
      <c r="AJ790" s="968"/>
      <c r="AL790" s="937"/>
    </row>
    <row r="791" spans="2:38" s="930" customFormat="1" ht="20.25" customHeight="1" x14ac:dyDescent="0.2">
      <c r="B791" s="936"/>
      <c r="C791" s="936"/>
      <c r="D791" s="936"/>
      <c r="E791" s="936"/>
      <c r="AH791" s="983"/>
      <c r="AI791" s="983"/>
      <c r="AJ791" s="968"/>
      <c r="AL791" s="937"/>
    </row>
    <row r="792" spans="2:38" s="930" customFormat="1" ht="20.25" customHeight="1" x14ac:dyDescent="0.2">
      <c r="B792" s="936"/>
      <c r="C792" s="936"/>
      <c r="D792" s="936"/>
      <c r="E792" s="936"/>
      <c r="AH792" s="983"/>
      <c r="AI792" s="983"/>
      <c r="AJ792" s="968"/>
      <c r="AL792" s="937"/>
    </row>
    <row r="793" spans="2:38" s="930" customFormat="1" ht="20.25" customHeight="1" x14ac:dyDescent="0.2">
      <c r="B793" s="936"/>
      <c r="C793" s="936"/>
      <c r="D793" s="936"/>
      <c r="E793" s="936"/>
      <c r="AH793" s="983"/>
      <c r="AI793" s="983"/>
      <c r="AJ793" s="968"/>
      <c r="AL793" s="937"/>
    </row>
    <row r="794" spans="2:38" s="930" customFormat="1" ht="20.25" customHeight="1" x14ac:dyDescent="0.2">
      <c r="B794" s="936"/>
      <c r="C794" s="936"/>
      <c r="D794" s="936"/>
      <c r="E794" s="936"/>
      <c r="AH794" s="983"/>
      <c r="AI794" s="983"/>
      <c r="AJ794" s="968"/>
      <c r="AL794" s="937"/>
    </row>
    <row r="795" spans="2:38" s="930" customFormat="1" ht="20.25" customHeight="1" x14ac:dyDescent="0.2">
      <c r="B795" s="936"/>
      <c r="C795" s="936"/>
      <c r="D795" s="936"/>
      <c r="E795" s="936"/>
      <c r="AH795" s="983"/>
      <c r="AI795" s="983"/>
      <c r="AJ795" s="968"/>
      <c r="AL795" s="937"/>
    </row>
    <row r="796" spans="2:38" s="930" customFormat="1" ht="20.25" customHeight="1" x14ac:dyDescent="0.2">
      <c r="B796" s="936"/>
      <c r="C796" s="936"/>
      <c r="D796" s="936"/>
      <c r="E796" s="936"/>
      <c r="AH796" s="983"/>
      <c r="AI796" s="983"/>
      <c r="AJ796" s="968"/>
      <c r="AL796" s="937"/>
    </row>
    <row r="797" spans="2:38" s="930" customFormat="1" ht="20.25" customHeight="1" x14ac:dyDescent="0.2">
      <c r="B797" s="936"/>
      <c r="C797" s="936"/>
      <c r="D797" s="936"/>
      <c r="E797" s="936"/>
      <c r="AH797" s="983"/>
      <c r="AI797" s="983"/>
      <c r="AJ797" s="968"/>
      <c r="AL797" s="937"/>
    </row>
    <row r="798" spans="2:38" s="930" customFormat="1" ht="20.25" customHeight="1" x14ac:dyDescent="0.2">
      <c r="B798" s="936"/>
      <c r="C798" s="936"/>
      <c r="D798" s="936"/>
      <c r="E798" s="936"/>
      <c r="AH798" s="983"/>
      <c r="AI798" s="983"/>
      <c r="AJ798" s="968"/>
      <c r="AL798" s="937"/>
    </row>
    <row r="799" spans="2:38" s="930" customFormat="1" ht="20.25" customHeight="1" x14ac:dyDescent="0.2">
      <c r="B799" s="936"/>
      <c r="C799" s="936"/>
      <c r="D799" s="936"/>
      <c r="E799" s="936"/>
      <c r="AH799" s="983"/>
      <c r="AI799" s="983"/>
      <c r="AJ799" s="968"/>
      <c r="AL799" s="937"/>
    </row>
    <row r="800" spans="2:38" s="930" customFormat="1" ht="20.25" customHeight="1" x14ac:dyDescent="0.2">
      <c r="B800" s="936"/>
      <c r="C800" s="936"/>
      <c r="D800" s="936"/>
      <c r="E800" s="936"/>
      <c r="AH800" s="983"/>
      <c r="AI800" s="983"/>
      <c r="AJ800" s="968"/>
      <c r="AL800" s="937"/>
    </row>
    <row r="801" spans="2:38" s="930" customFormat="1" ht="20.25" customHeight="1" x14ac:dyDescent="0.2">
      <c r="B801" s="936"/>
      <c r="C801" s="936"/>
      <c r="D801" s="936"/>
      <c r="E801" s="936"/>
      <c r="AH801" s="983"/>
      <c r="AI801" s="983"/>
      <c r="AJ801" s="968"/>
      <c r="AL801" s="937"/>
    </row>
    <row r="802" spans="2:38" s="930" customFormat="1" ht="20.25" customHeight="1" x14ac:dyDescent="0.2">
      <c r="B802" s="936"/>
      <c r="C802" s="936"/>
      <c r="D802" s="936"/>
      <c r="E802" s="936"/>
      <c r="AH802" s="983"/>
      <c r="AI802" s="983"/>
      <c r="AJ802" s="968"/>
      <c r="AL802" s="937"/>
    </row>
    <row r="803" spans="2:38" s="930" customFormat="1" ht="20.25" customHeight="1" x14ac:dyDescent="0.2">
      <c r="B803" s="936"/>
      <c r="C803" s="936"/>
      <c r="D803" s="936"/>
      <c r="E803" s="936"/>
      <c r="AH803" s="983"/>
      <c r="AI803" s="983"/>
      <c r="AJ803" s="968"/>
      <c r="AL803" s="937"/>
    </row>
    <row r="804" spans="2:38" s="930" customFormat="1" ht="20.25" customHeight="1" x14ac:dyDescent="0.2">
      <c r="B804" s="936"/>
      <c r="C804" s="936"/>
      <c r="D804" s="936"/>
      <c r="E804" s="936"/>
      <c r="AH804" s="983"/>
      <c r="AI804" s="983"/>
      <c r="AJ804" s="968"/>
      <c r="AL804" s="937"/>
    </row>
    <row r="805" spans="2:38" s="930" customFormat="1" ht="20.25" customHeight="1" x14ac:dyDescent="0.2">
      <c r="B805" s="936"/>
      <c r="C805" s="936"/>
      <c r="D805" s="936"/>
      <c r="E805" s="936"/>
      <c r="AH805" s="983"/>
      <c r="AI805" s="983"/>
      <c r="AJ805" s="968"/>
      <c r="AL805" s="937"/>
    </row>
    <row r="806" spans="2:38" s="930" customFormat="1" ht="20.25" customHeight="1" x14ac:dyDescent="0.2">
      <c r="B806" s="936"/>
      <c r="C806" s="936"/>
      <c r="D806" s="936"/>
      <c r="E806" s="936"/>
      <c r="AH806" s="983"/>
      <c r="AI806" s="983"/>
      <c r="AJ806" s="968"/>
      <c r="AL806" s="937"/>
    </row>
    <row r="807" spans="2:38" s="930" customFormat="1" ht="20.25" customHeight="1" x14ac:dyDescent="0.2">
      <c r="B807" s="936"/>
      <c r="C807" s="936"/>
      <c r="D807" s="936"/>
      <c r="E807" s="936"/>
      <c r="AH807" s="983"/>
      <c r="AI807" s="983"/>
      <c r="AJ807" s="968"/>
      <c r="AL807" s="937"/>
    </row>
    <row r="808" spans="2:38" s="930" customFormat="1" ht="20.25" customHeight="1" x14ac:dyDescent="0.2">
      <c r="B808" s="936"/>
      <c r="C808" s="936"/>
      <c r="D808" s="936"/>
      <c r="E808" s="936"/>
      <c r="AH808" s="983"/>
      <c r="AI808" s="983"/>
      <c r="AJ808" s="968"/>
      <c r="AL808" s="937"/>
    </row>
    <row r="809" spans="2:38" s="930" customFormat="1" ht="20.25" customHeight="1" x14ac:dyDescent="0.2">
      <c r="B809" s="936"/>
      <c r="C809" s="936"/>
      <c r="D809" s="936"/>
      <c r="E809" s="936"/>
      <c r="AH809" s="983"/>
      <c r="AI809" s="983"/>
      <c r="AJ809" s="968"/>
      <c r="AL809" s="937"/>
    </row>
    <row r="810" spans="2:38" s="930" customFormat="1" ht="20.25" customHeight="1" x14ac:dyDescent="0.2">
      <c r="B810" s="936"/>
      <c r="C810" s="936"/>
      <c r="D810" s="936"/>
      <c r="E810" s="936"/>
      <c r="AH810" s="983"/>
      <c r="AI810" s="983"/>
      <c r="AJ810" s="968"/>
      <c r="AL810" s="937"/>
    </row>
    <row r="811" spans="2:38" s="930" customFormat="1" ht="20.25" customHeight="1" x14ac:dyDescent="0.2">
      <c r="B811" s="936"/>
      <c r="C811" s="936"/>
      <c r="D811" s="936"/>
      <c r="E811" s="936"/>
      <c r="AH811" s="983"/>
      <c r="AI811" s="983"/>
      <c r="AJ811" s="968"/>
      <c r="AL811" s="937"/>
    </row>
    <row r="812" spans="2:38" s="930" customFormat="1" ht="20.25" customHeight="1" x14ac:dyDescent="0.2">
      <c r="B812" s="936"/>
      <c r="C812" s="936"/>
      <c r="D812" s="936"/>
      <c r="E812" s="936"/>
      <c r="AH812" s="983"/>
      <c r="AI812" s="983"/>
      <c r="AJ812" s="968"/>
      <c r="AL812" s="937"/>
    </row>
    <row r="813" spans="2:38" s="930" customFormat="1" ht="20.25" customHeight="1" x14ac:dyDescent="0.2">
      <c r="B813" s="936"/>
      <c r="C813" s="936"/>
      <c r="D813" s="936"/>
      <c r="E813" s="936"/>
      <c r="AH813" s="983"/>
      <c r="AI813" s="983"/>
      <c r="AJ813" s="968"/>
      <c r="AL813" s="937"/>
    </row>
    <row r="814" spans="2:38" s="930" customFormat="1" ht="20.25" customHeight="1" x14ac:dyDescent="0.2">
      <c r="B814" s="936"/>
      <c r="C814" s="936"/>
      <c r="D814" s="936"/>
      <c r="E814" s="936"/>
      <c r="AH814" s="983"/>
      <c r="AI814" s="983"/>
      <c r="AJ814" s="968"/>
      <c r="AL814" s="937"/>
    </row>
    <row r="815" spans="2:38" s="930" customFormat="1" ht="20.25" customHeight="1" x14ac:dyDescent="0.2">
      <c r="B815" s="936"/>
      <c r="C815" s="936"/>
      <c r="D815" s="936"/>
      <c r="E815" s="936"/>
      <c r="AH815" s="983"/>
      <c r="AI815" s="983"/>
      <c r="AJ815" s="968"/>
      <c r="AL815" s="937"/>
    </row>
    <row r="816" spans="2:38" s="930" customFormat="1" ht="20.25" customHeight="1" x14ac:dyDescent="0.2">
      <c r="B816" s="936"/>
      <c r="C816" s="936"/>
      <c r="D816" s="936"/>
      <c r="E816" s="936"/>
      <c r="AH816" s="983"/>
      <c r="AI816" s="983"/>
      <c r="AJ816" s="968"/>
      <c r="AL816" s="937"/>
    </row>
    <row r="817" spans="2:38" s="930" customFormat="1" ht="20.25" customHeight="1" x14ac:dyDescent="0.2">
      <c r="B817" s="936"/>
      <c r="C817" s="936"/>
      <c r="D817" s="936"/>
      <c r="E817" s="936"/>
      <c r="AH817" s="983"/>
      <c r="AI817" s="983"/>
      <c r="AJ817" s="968"/>
      <c r="AL817" s="937"/>
    </row>
    <row r="818" spans="2:38" s="930" customFormat="1" ht="20.25" customHeight="1" x14ac:dyDescent="0.2">
      <c r="B818" s="936"/>
      <c r="C818" s="936"/>
      <c r="D818" s="936"/>
      <c r="E818" s="936"/>
      <c r="AH818" s="983"/>
      <c r="AI818" s="983"/>
      <c r="AJ818" s="968"/>
      <c r="AL818" s="937"/>
    </row>
    <row r="819" spans="2:38" s="930" customFormat="1" ht="20.25" customHeight="1" x14ac:dyDescent="0.2">
      <c r="B819" s="936"/>
      <c r="C819" s="936"/>
      <c r="D819" s="936"/>
      <c r="E819" s="936"/>
      <c r="AH819" s="983"/>
      <c r="AI819" s="983"/>
      <c r="AJ819" s="968"/>
      <c r="AL819" s="937"/>
    </row>
    <row r="820" spans="2:38" s="930" customFormat="1" ht="20.25" customHeight="1" x14ac:dyDescent="0.2">
      <c r="B820" s="936"/>
      <c r="C820" s="936"/>
      <c r="D820" s="936"/>
      <c r="E820" s="936"/>
      <c r="AH820" s="983"/>
      <c r="AI820" s="983"/>
      <c r="AJ820" s="968"/>
      <c r="AL820" s="937"/>
    </row>
    <row r="821" spans="2:38" s="930" customFormat="1" ht="20.25" customHeight="1" x14ac:dyDescent="0.2">
      <c r="B821" s="936"/>
      <c r="C821" s="936"/>
      <c r="D821" s="936"/>
      <c r="E821" s="936"/>
      <c r="AH821" s="983"/>
      <c r="AI821" s="983"/>
      <c r="AJ821" s="968"/>
      <c r="AL821" s="937"/>
    </row>
    <row r="822" spans="2:38" s="930" customFormat="1" ht="20.25" customHeight="1" x14ac:dyDescent="0.2">
      <c r="B822" s="936"/>
      <c r="C822" s="936"/>
      <c r="D822" s="936"/>
      <c r="E822" s="936"/>
      <c r="AH822" s="983"/>
      <c r="AI822" s="983"/>
      <c r="AJ822" s="968"/>
      <c r="AL822" s="937"/>
    </row>
    <row r="823" spans="2:38" s="930" customFormat="1" ht="20.25" customHeight="1" x14ac:dyDescent="0.2">
      <c r="B823" s="936"/>
      <c r="C823" s="936"/>
      <c r="D823" s="936"/>
      <c r="E823" s="936"/>
      <c r="AH823" s="983"/>
      <c r="AI823" s="983"/>
      <c r="AJ823" s="968"/>
      <c r="AL823" s="937"/>
    </row>
    <row r="824" spans="2:38" s="930" customFormat="1" ht="20.25" customHeight="1" x14ac:dyDescent="0.2">
      <c r="B824" s="936"/>
      <c r="C824" s="936"/>
      <c r="D824" s="936"/>
      <c r="E824" s="936"/>
      <c r="AH824" s="983"/>
      <c r="AI824" s="983"/>
      <c r="AJ824" s="968"/>
      <c r="AL824" s="937"/>
    </row>
    <row r="825" spans="2:38" s="930" customFormat="1" ht="20.25" customHeight="1" x14ac:dyDescent="0.2">
      <c r="B825" s="936"/>
      <c r="C825" s="936"/>
      <c r="D825" s="936"/>
      <c r="E825" s="936"/>
      <c r="AH825" s="983"/>
      <c r="AI825" s="983"/>
      <c r="AJ825" s="968"/>
      <c r="AL825" s="937"/>
    </row>
    <row r="826" spans="2:38" s="930" customFormat="1" ht="20.25" customHeight="1" x14ac:dyDescent="0.2">
      <c r="B826" s="936"/>
      <c r="C826" s="936"/>
      <c r="D826" s="936"/>
      <c r="E826" s="936"/>
      <c r="AH826" s="983"/>
      <c r="AI826" s="983"/>
      <c r="AJ826" s="968"/>
      <c r="AL826" s="937"/>
    </row>
    <row r="827" spans="2:38" s="930" customFormat="1" ht="20.25" customHeight="1" x14ac:dyDescent="0.2">
      <c r="B827" s="936"/>
      <c r="C827" s="936"/>
      <c r="D827" s="936"/>
      <c r="E827" s="936"/>
      <c r="AH827" s="983"/>
      <c r="AI827" s="983"/>
      <c r="AJ827" s="968"/>
      <c r="AL827" s="937"/>
    </row>
    <row r="828" spans="2:38" s="930" customFormat="1" ht="20.25" customHeight="1" x14ac:dyDescent="0.2">
      <c r="B828" s="936"/>
      <c r="C828" s="936"/>
      <c r="D828" s="936"/>
      <c r="E828" s="936"/>
      <c r="AH828" s="983"/>
      <c r="AI828" s="983"/>
      <c r="AJ828" s="968"/>
      <c r="AL828" s="937"/>
    </row>
    <row r="829" spans="2:38" s="930" customFormat="1" ht="20.25" customHeight="1" x14ac:dyDescent="0.2">
      <c r="B829" s="936"/>
      <c r="C829" s="936"/>
      <c r="D829" s="936"/>
      <c r="E829" s="936"/>
      <c r="AH829" s="983"/>
      <c r="AI829" s="983"/>
      <c r="AJ829" s="968"/>
      <c r="AL829" s="937"/>
    </row>
    <row r="830" spans="2:38" s="930" customFormat="1" ht="20.25" customHeight="1" x14ac:dyDescent="0.2">
      <c r="B830" s="936"/>
      <c r="C830" s="936"/>
      <c r="D830" s="936"/>
      <c r="E830" s="936"/>
      <c r="AH830" s="983"/>
      <c r="AI830" s="983"/>
      <c r="AJ830" s="968"/>
      <c r="AL830" s="937"/>
    </row>
    <row r="831" spans="2:38" s="930" customFormat="1" ht="20.25" customHeight="1" x14ac:dyDescent="0.2">
      <c r="B831" s="936"/>
      <c r="C831" s="936"/>
      <c r="D831" s="936"/>
      <c r="E831" s="936"/>
      <c r="AH831" s="983"/>
      <c r="AI831" s="983"/>
      <c r="AJ831" s="968"/>
      <c r="AL831" s="937"/>
    </row>
    <row r="832" spans="2:38" s="930" customFormat="1" ht="20.25" customHeight="1" x14ac:dyDescent="0.2">
      <c r="B832" s="936"/>
      <c r="C832" s="936"/>
      <c r="D832" s="936"/>
      <c r="E832" s="936"/>
      <c r="AH832" s="983"/>
      <c r="AI832" s="983"/>
      <c r="AJ832" s="968"/>
      <c r="AL832" s="937"/>
    </row>
    <row r="833" spans="2:38" s="930" customFormat="1" ht="20.25" customHeight="1" x14ac:dyDescent="0.2">
      <c r="B833" s="936"/>
      <c r="C833" s="936"/>
      <c r="D833" s="936"/>
      <c r="E833" s="936"/>
      <c r="AH833" s="983"/>
      <c r="AI833" s="983"/>
      <c r="AJ833" s="968"/>
      <c r="AL833" s="937"/>
    </row>
    <row r="834" spans="2:38" s="930" customFormat="1" ht="20.25" customHeight="1" x14ac:dyDescent="0.2">
      <c r="B834" s="936"/>
      <c r="C834" s="936"/>
      <c r="D834" s="936"/>
      <c r="E834" s="936"/>
      <c r="AH834" s="983"/>
      <c r="AI834" s="983"/>
      <c r="AJ834" s="968"/>
      <c r="AL834" s="937"/>
    </row>
    <row r="835" spans="2:38" s="930" customFormat="1" ht="20.25" customHeight="1" x14ac:dyDescent="0.2">
      <c r="B835" s="936"/>
      <c r="C835" s="936"/>
      <c r="D835" s="936"/>
      <c r="E835" s="936"/>
      <c r="AH835" s="983"/>
      <c r="AI835" s="983"/>
      <c r="AJ835" s="968"/>
      <c r="AL835" s="937"/>
    </row>
    <row r="836" spans="2:38" s="930" customFormat="1" ht="20.25" customHeight="1" x14ac:dyDescent="0.2">
      <c r="B836" s="936"/>
      <c r="C836" s="936"/>
      <c r="D836" s="936"/>
      <c r="E836" s="936"/>
      <c r="AH836" s="983"/>
      <c r="AI836" s="983"/>
      <c r="AJ836" s="968"/>
      <c r="AL836" s="937"/>
    </row>
    <row r="837" spans="2:38" s="930" customFormat="1" ht="20.25" customHeight="1" x14ac:dyDescent="0.2">
      <c r="B837" s="936"/>
      <c r="C837" s="936"/>
      <c r="D837" s="936"/>
      <c r="E837" s="936"/>
      <c r="AH837" s="983"/>
      <c r="AI837" s="983"/>
      <c r="AJ837" s="968"/>
      <c r="AL837" s="937"/>
    </row>
    <row r="838" spans="2:38" s="930" customFormat="1" ht="20.25" customHeight="1" x14ac:dyDescent="0.2">
      <c r="B838" s="936"/>
      <c r="C838" s="936"/>
      <c r="D838" s="936"/>
      <c r="E838" s="936"/>
      <c r="AH838" s="983"/>
      <c r="AI838" s="983"/>
      <c r="AJ838" s="968"/>
      <c r="AL838" s="937"/>
    </row>
    <row r="839" spans="2:38" s="930" customFormat="1" ht="20.25" customHeight="1" x14ac:dyDescent="0.2">
      <c r="B839" s="936"/>
      <c r="C839" s="936"/>
      <c r="D839" s="936"/>
      <c r="E839" s="936"/>
      <c r="AH839" s="983"/>
      <c r="AI839" s="983"/>
      <c r="AJ839" s="968"/>
      <c r="AL839" s="937"/>
    </row>
    <row r="840" spans="2:38" s="930" customFormat="1" ht="20.25" customHeight="1" x14ac:dyDescent="0.2">
      <c r="B840" s="936"/>
      <c r="C840" s="936"/>
      <c r="D840" s="936"/>
      <c r="E840" s="936"/>
      <c r="AH840" s="983"/>
      <c r="AI840" s="983"/>
      <c r="AJ840" s="968"/>
      <c r="AL840" s="937"/>
    </row>
    <row r="841" spans="2:38" s="930" customFormat="1" ht="20.25" customHeight="1" x14ac:dyDescent="0.2">
      <c r="B841" s="936"/>
      <c r="C841" s="936"/>
      <c r="D841" s="936"/>
      <c r="E841" s="936"/>
      <c r="AH841" s="983"/>
      <c r="AI841" s="983"/>
      <c r="AJ841" s="968"/>
      <c r="AL841" s="937"/>
    </row>
    <row r="842" spans="2:38" s="930" customFormat="1" ht="20.25" customHeight="1" x14ac:dyDescent="0.2">
      <c r="B842" s="936"/>
      <c r="C842" s="936"/>
      <c r="D842" s="936"/>
      <c r="E842" s="936"/>
      <c r="AH842" s="983"/>
      <c r="AI842" s="983"/>
      <c r="AJ842" s="968"/>
      <c r="AL842" s="937"/>
    </row>
    <row r="843" spans="2:38" s="930" customFormat="1" ht="20.25" customHeight="1" x14ac:dyDescent="0.2">
      <c r="B843" s="936"/>
      <c r="C843" s="936"/>
      <c r="D843" s="936"/>
      <c r="E843" s="936"/>
      <c r="AH843" s="983"/>
      <c r="AI843" s="983"/>
      <c r="AJ843" s="968"/>
      <c r="AL843" s="937"/>
    </row>
    <row r="844" spans="2:38" s="930" customFormat="1" ht="20.25" customHeight="1" x14ac:dyDescent="0.2">
      <c r="B844" s="936"/>
      <c r="C844" s="936"/>
      <c r="D844" s="936"/>
      <c r="E844" s="936"/>
      <c r="AH844" s="983"/>
      <c r="AI844" s="983"/>
      <c r="AJ844" s="968"/>
      <c r="AL844" s="937"/>
    </row>
    <row r="845" spans="2:38" s="930" customFormat="1" ht="20.25" customHeight="1" x14ac:dyDescent="0.2">
      <c r="B845" s="936"/>
      <c r="C845" s="936"/>
      <c r="D845" s="936"/>
      <c r="E845" s="936"/>
      <c r="AH845" s="983"/>
      <c r="AI845" s="983"/>
      <c r="AJ845" s="968"/>
      <c r="AL845" s="937"/>
    </row>
    <row r="846" spans="2:38" s="930" customFormat="1" ht="20.25" customHeight="1" x14ac:dyDescent="0.2">
      <c r="B846" s="936"/>
      <c r="C846" s="936"/>
      <c r="D846" s="936"/>
      <c r="E846" s="936"/>
      <c r="AH846" s="983"/>
      <c r="AI846" s="983"/>
      <c r="AJ846" s="968"/>
      <c r="AL846" s="937"/>
    </row>
    <row r="847" spans="2:38" s="930" customFormat="1" ht="20.25" customHeight="1" x14ac:dyDescent="0.2">
      <c r="B847" s="936"/>
      <c r="C847" s="936"/>
      <c r="D847" s="936"/>
      <c r="E847" s="936"/>
      <c r="AH847" s="983"/>
      <c r="AI847" s="983"/>
      <c r="AJ847" s="968"/>
      <c r="AL847" s="937"/>
    </row>
    <row r="848" spans="2:38" s="930" customFormat="1" ht="20.25" customHeight="1" x14ac:dyDescent="0.2">
      <c r="B848" s="936"/>
      <c r="C848" s="936"/>
      <c r="D848" s="936"/>
      <c r="E848" s="936"/>
      <c r="AH848" s="983"/>
      <c r="AI848" s="983"/>
      <c r="AJ848" s="968"/>
      <c r="AL848" s="937"/>
    </row>
    <row r="849" spans="2:38" s="930" customFormat="1" ht="20.25" customHeight="1" x14ac:dyDescent="0.2">
      <c r="B849" s="936"/>
      <c r="C849" s="936"/>
      <c r="D849" s="936"/>
      <c r="E849" s="936"/>
      <c r="AH849" s="983"/>
      <c r="AI849" s="983"/>
      <c r="AJ849" s="968"/>
      <c r="AL849" s="937"/>
    </row>
    <row r="850" spans="2:38" s="930" customFormat="1" ht="20.25" customHeight="1" x14ac:dyDescent="0.2">
      <c r="B850" s="936"/>
      <c r="C850" s="936"/>
      <c r="D850" s="936"/>
      <c r="E850" s="936"/>
      <c r="AH850" s="983"/>
      <c r="AI850" s="983"/>
      <c r="AJ850" s="968"/>
      <c r="AL850" s="937"/>
    </row>
    <row r="851" spans="2:38" s="930" customFormat="1" ht="20.25" customHeight="1" x14ac:dyDescent="0.2">
      <c r="B851" s="936"/>
      <c r="C851" s="936"/>
      <c r="D851" s="936"/>
      <c r="E851" s="936"/>
      <c r="AH851" s="983"/>
      <c r="AI851" s="983"/>
      <c r="AJ851" s="968"/>
      <c r="AL851" s="937"/>
    </row>
    <row r="852" spans="2:38" s="930" customFormat="1" ht="20.25" customHeight="1" x14ac:dyDescent="0.2">
      <c r="B852" s="936"/>
      <c r="C852" s="936"/>
      <c r="D852" s="936"/>
      <c r="E852" s="936"/>
      <c r="AH852" s="983"/>
      <c r="AI852" s="983"/>
      <c r="AJ852" s="968"/>
      <c r="AL852" s="937"/>
    </row>
    <row r="853" spans="2:38" s="930" customFormat="1" ht="20.25" customHeight="1" x14ac:dyDescent="0.2">
      <c r="B853" s="936"/>
      <c r="C853" s="936"/>
      <c r="D853" s="936"/>
      <c r="E853" s="936"/>
      <c r="AH853" s="983"/>
      <c r="AI853" s="983"/>
      <c r="AJ853" s="968"/>
      <c r="AL853" s="937"/>
    </row>
    <row r="854" spans="2:38" s="930" customFormat="1" ht="20.25" customHeight="1" x14ac:dyDescent="0.2">
      <c r="B854" s="936"/>
      <c r="C854" s="936"/>
      <c r="D854" s="936"/>
      <c r="E854" s="936"/>
      <c r="AH854" s="983"/>
      <c r="AI854" s="983"/>
      <c r="AJ854" s="968"/>
      <c r="AL854" s="937"/>
    </row>
    <row r="855" spans="2:38" s="930" customFormat="1" ht="20.25" customHeight="1" x14ac:dyDescent="0.2">
      <c r="B855" s="936"/>
      <c r="C855" s="936"/>
      <c r="D855" s="936"/>
      <c r="E855" s="936"/>
      <c r="AH855" s="983"/>
      <c r="AI855" s="983"/>
      <c r="AJ855" s="968"/>
      <c r="AL855" s="937"/>
    </row>
    <row r="856" spans="2:38" s="930" customFormat="1" ht="20.25" customHeight="1" x14ac:dyDescent="0.2">
      <c r="B856" s="936"/>
      <c r="C856" s="936"/>
      <c r="D856" s="936"/>
      <c r="E856" s="936"/>
      <c r="AH856" s="983"/>
      <c r="AI856" s="983"/>
      <c r="AJ856" s="968"/>
      <c r="AL856" s="937"/>
    </row>
    <row r="857" spans="2:38" s="930" customFormat="1" ht="20.25" customHeight="1" x14ac:dyDescent="0.2">
      <c r="B857" s="936"/>
      <c r="C857" s="936"/>
      <c r="D857" s="936"/>
      <c r="E857" s="936"/>
      <c r="AH857" s="983"/>
      <c r="AI857" s="983"/>
      <c r="AJ857" s="968"/>
      <c r="AL857" s="937"/>
    </row>
    <row r="858" spans="2:38" s="930" customFormat="1" ht="20.25" customHeight="1" x14ac:dyDescent="0.2">
      <c r="B858" s="936"/>
      <c r="C858" s="936"/>
      <c r="D858" s="936"/>
      <c r="E858" s="936"/>
      <c r="AH858" s="983"/>
      <c r="AI858" s="983"/>
      <c r="AJ858" s="968"/>
      <c r="AL858" s="937"/>
    </row>
    <row r="859" spans="2:38" s="930" customFormat="1" ht="20.25" customHeight="1" x14ac:dyDescent="0.2">
      <c r="B859" s="936"/>
      <c r="C859" s="936"/>
      <c r="D859" s="936"/>
      <c r="E859" s="936"/>
      <c r="AH859" s="983"/>
      <c r="AI859" s="983"/>
      <c r="AJ859" s="968"/>
      <c r="AL859" s="937"/>
    </row>
    <row r="860" spans="2:38" s="930" customFormat="1" ht="20.25" customHeight="1" x14ac:dyDescent="0.2">
      <c r="B860" s="936"/>
      <c r="C860" s="936"/>
      <c r="D860" s="936"/>
      <c r="E860" s="936"/>
      <c r="AH860" s="983"/>
      <c r="AI860" s="983"/>
      <c r="AJ860" s="968"/>
      <c r="AL860" s="937"/>
    </row>
    <row r="861" spans="2:38" s="930" customFormat="1" ht="20.25" customHeight="1" x14ac:dyDescent="0.2">
      <c r="B861" s="936"/>
      <c r="C861" s="936"/>
      <c r="D861" s="936"/>
      <c r="E861" s="936"/>
      <c r="AH861" s="983"/>
      <c r="AI861" s="983"/>
      <c r="AJ861" s="968"/>
      <c r="AL861" s="937"/>
    </row>
    <row r="862" spans="2:38" s="930" customFormat="1" ht="20.25" customHeight="1" x14ac:dyDescent="0.2">
      <c r="B862" s="936"/>
      <c r="C862" s="936"/>
      <c r="D862" s="936"/>
      <c r="E862" s="936"/>
      <c r="AH862" s="983"/>
      <c r="AI862" s="983"/>
      <c r="AJ862" s="968"/>
      <c r="AL862" s="937"/>
    </row>
    <row r="863" spans="2:38" s="930" customFormat="1" ht="20.25" customHeight="1" x14ac:dyDescent="0.2">
      <c r="B863" s="936"/>
      <c r="C863" s="936"/>
      <c r="D863" s="936"/>
      <c r="E863" s="936"/>
      <c r="AH863" s="983"/>
      <c r="AI863" s="983"/>
      <c r="AJ863" s="968"/>
      <c r="AL863" s="937"/>
    </row>
    <row r="864" spans="2:38" s="930" customFormat="1" ht="20.25" customHeight="1" x14ac:dyDescent="0.2">
      <c r="B864" s="936"/>
      <c r="C864" s="936"/>
      <c r="D864" s="936"/>
      <c r="E864" s="936"/>
      <c r="AH864" s="983"/>
      <c r="AI864" s="983"/>
      <c r="AJ864" s="968"/>
      <c r="AL864" s="937"/>
    </row>
    <row r="865" spans="2:38" s="930" customFormat="1" ht="20.25" customHeight="1" x14ac:dyDescent="0.2">
      <c r="B865" s="936"/>
      <c r="C865" s="936"/>
      <c r="D865" s="936"/>
      <c r="E865" s="936"/>
      <c r="AH865" s="983"/>
      <c r="AI865" s="983"/>
      <c r="AJ865" s="968"/>
      <c r="AL865" s="937"/>
    </row>
    <row r="866" spans="2:38" s="930" customFormat="1" ht="20.25" customHeight="1" x14ac:dyDescent="0.2">
      <c r="B866" s="936"/>
      <c r="C866" s="936"/>
      <c r="D866" s="936"/>
      <c r="E866" s="936"/>
      <c r="AH866" s="983"/>
      <c r="AI866" s="983"/>
      <c r="AJ866" s="968"/>
      <c r="AL866" s="937"/>
    </row>
    <row r="867" spans="2:38" s="930" customFormat="1" ht="20.25" customHeight="1" x14ac:dyDescent="0.2">
      <c r="B867" s="936"/>
      <c r="C867" s="936"/>
      <c r="D867" s="936"/>
      <c r="E867" s="936"/>
      <c r="AH867" s="983"/>
      <c r="AI867" s="983"/>
      <c r="AJ867" s="968"/>
      <c r="AL867" s="937"/>
    </row>
    <row r="868" spans="2:38" s="930" customFormat="1" ht="20.25" customHeight="1" x14ac:dyDescent="0.2">
      <c r="B868" s="936"/>
      <c r="C868" s="936"/>
      <c r="D868" s="936"/>
      <c r="E868" s="936"/>
      <c r="AH868" s="983"/>
      <c r="AI868" s="983"/>
      <c r="AJ868" s="968"/>
      <c r="AL868" s="937"/>
    </row>
    <row r="869" spans="2:38" s="930" customFormat="1" ht="20.25" customHeight="1" x14ac:dyDescent="0.2">
      <c r="B869" s="936"/>
      <c r="C869" s="936"/>
      <c r="D869" s="936"/>
      <c r="E869" s="936"/>
      <c r="AH869" s="983"/>
      <c r="AI869" s="983"/>
      <c r="AJ869" s="968"/>
      <c r="AL869" s="937"/>
    </row>
    <row r="870" spans="2:38" s="930" customFormat="1" ht="20.25" customHeight="1" x14ac:dyDescent="0.2">
      <c r="B870" s="936"/>
      <c r="C870" s="936"/>
      <c r="D870" s="936"/>
      <c r="E870" s="936"/>
      <c r="AH870" s="983"/>
      <c r="AI870" s="983"/>
      <c r="AJ870" s="968"/>
      <c r="AL870" s="937"/>
    </row>
    <row r="871" spans="2:38" s="930" customFormat="1" ht="20.25" customHeight="1" x14ac:dyDescent="0.2">
      <c r="B871" s="936"/>
      <c r="C871" s="936"/>
      <c r="D871" s="936"/>
      <c r="E871" s="936"/>
      <c r="AH871" s="983"/>
      <c r="AI871" s="983"/>
      <c r="AJ871" s="968"/>
      <c r="AL871" s="937"/>
    </row>
    <row r="872" spans="2:38" s="930" customFormat="1" ht="20.25" customHeight="1" x14ac:dyDescent="0.2">
      <c r="B872" s="936"/>
      <c r="C872" s="936"/>
      <c r="D872" s="936"/>
      <c r="E872" s="936"/>
      <c r="AH872" s="983"/>
      <c r="AI872" s="983"/>
      <c r="AJ872" s="968"/>
      <c r="AL872" s="937"/>
    </row>
    <row r="873" spans="2:38" s="930" customFormat="1" ht="20.25" customHeight="1" x14ac:dyDescent="0.2">
      <c r="B873" s="936"/>
      <c r="C873" s="936"/>
      <c r="D873" s="936"/>
      <c r="E873" s="936"/>
      <c r="AH873" s="983"/>
      <c r="AI873" s="983"/>
      <c r="AJ873" s="968"/>
      <c r="AL873" s="937"/>
    </row>
    <row r="874" spans="2:38" s="930" customFormat="1" ht="20.25" customHeight="1" x14ac:dyDescent="0.2">
      <c r="B874" s="936"/>
      <c r="C874" s="936"/>
      <c r="D874" s="936"/>
      <c r="E874" s="936"/>
      <c r="AH874" s="983"/>
      <c r="AI874" s="983"/>
      <c r="AJ874" s="968"/>
      <c r="AL874" s="937"/>
    </row>
    <row r="875" spans="2:38" s="930" customFormat="1" ht="20.25" customHeight="1" x14ac:dyDescent="0.2">
      <c r="B875" s="936"/>
      <c r="C875" s="936"/>
      <c r="D875" s="936"/>
      <c r="E875" s="936"/>
      <c r="AH875" s="983"/>
      <c r="AI875" s="983"/>
      <c r="AJ875" s="968"/>
      <c r="AL875" s="937"/>
    </row>
    <row r="876" spans="2:38" s="930" customFormat="1" ht="20.25" customHeight="1" x14ac:dyDescent="0.2">
      <c r="B876" s="936"/>
      <c r="C876" s="936"/>
      <c r="D876" s="936"/>
      <c r="E876" s="936"/>
      <c r="AH876" s="983"/>
      <c r="AI876" s="983"/>
      <c r="AJ876" s="968"/>
      <c r="AL876" s="937"/>
    </row>
    <row r="877" spans="2:38" s="930" customFormat="1" ht="20.25" customHeight="1" x14ac:dyDescent="0.2">
      <c r="B877" s="936"/>
      <c r="C877" s="936"/>
      <c r="D877" s="936"/>
      <c r="E877" s="936"/>
      <c r="AH877" s="983"/>
      <c r="AI877" s="983"/>
      <c r="AJ877" s="968"/>
      <c r="AL877" s="937"/>
    </row>
    <row r="878" spans="2:38" s="930" customFormat="1" ht="20.25" customHeight="1" x14ac:dyDescent="0.2">
      <c r="B878" s="936"/>
      <c r="C878" s="936"/>
      <c r="D878" s="936"/>
      <c r="E878" s="936"/>
      <c r="AH878" s="983"/>
      <c r="AI878" s="983"/>
      <c r="AJ878" s="968"/>
      <c r="AL878" s="937"/>
    </row>
    <row r="879" spans="2:38" s="930" customFormat="1" ht="20.25" customHeight="1" x14ac:dyDescent="0.2">
      <c r="B879" s="936"/>
      <c r="C879" s="936"/>
      <c r="D879" s="936"/>
      <c r="E879" s="936"/>
      <c r="AH879" s="983"/>
      <c r="AI879" s="983"/>
      <c r="AJ879" s="968"/>
      <c r="AL879" s="937"/>
    </row>
    <row r="880" spans="2:38" s="930" customFormat="1" ht="20.25" customHeight="1" x14ac:dyDescent="0.2">
      <c r="B880" s="936"/>
      <c r="C880" s="936"/>
      <c r="D880" s="936"/>
      <c r="E880" s="936"/>
      <c r="AH880" s="983"/>
      <c r="AI880" s="983"/>
      <c r="AJ880" s="968"/>
      <c r="AL880" s="937"/>
    </row>
    <row r="881" spans="2:38" s="930" customFormat="1" ht="20.25" customHeight="1" x14ac:dyDescent="0.2">
      <c r="B881" s="936"/>
      <c r="C881" s="936"/>
      <c r="D881" s="936"/>
      <c r="E881" s="936"/>
      <c r="AH881" s="983"/>
      <c r="AI881" s="983"/>
      <c r="AJ881" s="968"/>
      <c r="AL881" s="937"/>
    </row>
    <row r="882" spans="2:38" s="930" customFormat="1" ht="20.25" customHeight="1" x14ac:dyDescent="0.2">
      <c r="B882" s="936"/>
      <c r="C882" s="936"/>
      <c r="D882" s="936"/>
      <c r="E882" s="936"/>
      <c r="AH882" s="983"/>
      <c r="AI882" s="983"/>
      <c r="AJ882" s="968"/>
      <c r="AL882" s="937"/>
    </row>
    <row r="883" spans="2:38" s="930" customFormat="1" ht="20.25" customHeight="1" x14ac:dyDescent="0.2">
      <c r="B883" s="936"/>
      <c r="C883" s="936"/>
      <c r="D883" s="936"/>
      <c r="E883" s="936"/>
      <c r="AH883" s="983"/>
      <c r="AI883" s="983"/>
      <c r="AJ883" s="968"/>
      <c r="AL883" s="937"/>
    </row>
    <row r="884" spans="2:38" s="930" customFormat="1" ht="20.25" customHeight="1" x14ac:dyDescent="0.2">
      <c r="B884" s="936"/>
      <c r="C884" s="936"/>
      <c r="D884" s="936"/>
      <c r="E884" s="936"/>
      <c r="AH884" s="983"/>
      <c r="AI884" s="983"/>
      <c r="AJ884" s="968"/>
      <c r="AL884" s="937"/>
    </row>
    <row r="885" spans="2:38" s="930" customFormat="1" ht="20.25" customHeight="1" x14ac:dyDescent="0.2">
      <c r="B885" s="936"/>
      <c r="C885" s="936"/>
      <c r="D885" s="936"/>
      <c r="E885" s="936"/>
      <c r="AH885" s="983"/>
      <c r="AI885" s="983"/>
      <c r="AJ885" s="968"/>
      <c r="AL885" s="937"/>
    </row>
    <row r="886" spans="2:38" s="930" customFormat="1" ht="20.25" customHeight="1" x14ac:dyDescent="0.2">
      <c r="B886" s="936"/>
      <c r="C886" s="936"/>
      <c r="D886" s="936"/>
      <c r="E886" s="936"/>
      <c r="AH886" s="983"/>
      <c r="AI886" s="983"/>
      <c r="AJ886" s="968"/>
      <c r="AL886" s="937"/>
    </row>
    <row r="887" spans="2:38" s="930" customFormat="1" ht="20.25" customHeight="1" x14ac:dyDescent="0.2">
      <c r="B887" s="936"/>
      <c r="C887" s="936"/>
      <c r="D887" s="936"/>
      <c r="E887" s="936"/>
      <c r="AH887" s="983"/>
      <c r="AI887" s="983"/>
      <c r="AJ887" s="968"/>
      <c r="AL887" s="937"/>
    </row>
    <row r="888" spans="2:38" s="930" customFormat="1" ht="20.25" customHeight="1" x14ac:dyDescent="0.2">
      <c r="B888" s="936"/>
      <c r="C888" s="936"/>
      <c r="D888" s="936"/>
      <c r="E888" s="936"/>
      <c r="AH888" s="983"/>
      <c r="AI888" s="983"/>
      <c r="AJ888" s="968"/>
      <c r="AL888" s="937"/>
    </row>
    <row r="889" spans="2:38" s="930" customFormat="1" ht="20.25" customHeight="1" x14ac:dyDescent="0.2">
      <c r="B889" s="936"/>
      <c r="C889" s="936"/>
      <c r="D889" s="936"/>
      <c r="E889" s="936"/>
      <c r="AH889" s="983"/>
      <c r="AI889" s="983"/>
      <c r="AJ889" s="968"/>
      <c r="AL889" s="937"/>
    </row>
    <row r="890" spans="2:38" s="930" customFormat="1" ht="20.25" customHeight="1" x14ac:dyDescent="0.2">
      <c r="B890" s="936"/>
      <c r="C890" s="936"/>
      <c r="D890" s="936"/>
      <c r="E890" s="936"/>
      <c r="AH890" s="983"/>
      <c r="AI890" s="983"/>
      <c r="AJ890" s="968"/>
      <c r="AL890" s="937"/>
    </row>
    <row r="891" spans="2:38" s="930" customFormat="1" ht="20.25" customHeight="1" x14ac:dyDescent="0.2">
      <c r="B891" s="936"/>
      <c r="C891" s="936"/>
      <c r="D891" s="936"/>
      <c r="E891" s="936"/>
      <c r="AH891" s="983"/>
      <c r="AI891" s="983"/>
      <c r="AJ891" s="968"/>
      <c r="AL891" s="937"/>
    </row>
    <row r="892" spans="2:38" s="930" customFormat="1" ht="20.25" customHeight="1" x14ac:dyDescent="0.2">
      <c r="B892" s="936"/>
      <c r="C892" s="936"/>
      <c r="D892" s="936"/>
      <c r="E892" s="936"/>
      <c r="AH892" s="983"/>
      <c r="AI892" s="983"/>
      <c r="AJ892" s="968"/>
      <c r="AL892" s="937"/>
    </row>
    <row r="893" spans="2:38" s="930" customFormat="1" ht="20.25" customHeight="1" x14ac:dyDescent="0.2">
      <c r="B893" s="936"/>
      <c r="C893" s="936"/>
      <c r="D893" s="936"/>
      <c r="E893" s="936"/>
      <c r="AH893" s="983"/>
      <c r="AI893" s="983"/>
      <c r="AJ893" s="968"/>
      <c r="AL893" s="937"/>
    </row>
    <row r="894" spans="2:38" s="930" customFormat="1" ht="20.25" customHeight="1" x14ac:dyDescent="0.2">
      <c r="B894" s="936"/>
      <c r="C894" s="936"/>
      <c r="D894" s="936"/>
      <c r="E894" s="936"/>
      <c r="AH894" s="983"/>
      <c r="AI894" s="983"/>
      <c r="AJ894" s="968"/>
      <c r="AL894" s="937"/>
    </row>
    <row r="895" spans="2:38" s="930" customFormat="1" ht="20.25" customHeight="1" x14ac:dyDescent="0.2">
      <c r="B895" s="936"/>
      <c r="C895" s="936"/>
      <c r="D895" s="936"/>
      <c r="E895" s="936"/>
      <c r="AH895" s="983"/>
      <c r="AI895" s="983"/>
      <c r="AJ895" s="968"/>
      <c r="AL895" s="937"/>
    </row>
    <row r="896" spans="2:38" s="930" customFormat="1" ht="20.25" customHeight="1" x14ac:dyDescent="0.2">
      <c r="B896" s="936"/>
      <c r="C896" s="936"/>
      <c r="D896" s="936"/>
      <c r="E896" s="936"/>
      <c r="AH896" s="983"/>
      <c r="AI896" s="983"/>
      <c r="AJ896" s="968"/>
      <c r="AL896" s="937"/>
    </row>
    <row r="897" spans="2:38" s="930" customFormat="1" ht="20.25" customHeight="1" x14ac:dyDescent="0.2">
      <c r="B897" s="936"/>
      <c r="C897" s="936"/>
      <c r="D897" s="936"/>
      <c r="E897" s="936"/>
      <c r="AH897" s="983"/>
      <c r="AI897" s="983"/>
      <c r="AJ897" s="968"/>
      <c r="AL897" s="937"/>
    </row>
    <row r="898" spans="2:38" s="930" customFormat="1" ht="20.25" customHeight="1" x14ac:dyDescent="0.2">
      <c r="B898" s="936"/>
      <c r="C898" s="936"/>
      <c r="D898" s="936"/>
      <c r="E898" s="936"/>
      <c r="AH898" s="983"/>
      <c r="AI898" s="983"/>
      <c r="AJ898" s="968"/>
      <c r="AL898" s="937"/>
    </row>
    <row r="899" spans="2:38" s="930" customFormat="1" ht="20.25" customHeight="1" x14ac:dyDescent="0.2">
      <c r="B899" s="936"/>
      <c r="C899" s="936"/>
      <c r="D899" s="936"/>
      <c r="E899" s="936"/>
      <c r="AH899" s="983"/>
      <c r="AI899" s="983"/>
      <c r="AJ899" s="968"/>
      <c r="AL899" s="937"/>
    </row>
    <row r="900" spans="2:38" s="930" customFormat="1" ht="20.25" customHeight="1" x14ac:dyDescent="0.2">
      <c r="B900" s="936"/>
      <c r="C900" s="936"/>
      <c r="D900" s="936"/>
      <c r="E900" s="936"/>
      <c r="AH900" s="983"/>
      <c r="AI900" s="983"/>
      <c r="AJ900" s="968"/>
      <c r="AL900" s="937"/>
    </row>
    <row r="901" spans="2:38" s="930" customFormat="1" ht="20.25" customHeight="1" x14ac:dyDescent="0.2">
      <c r="B901" s="936"/>
      <c r="C901" s="936"/>
      <c r="D901" s="936"/>
      <c r="E901" s="936"/>
      <c r="AH901" s="983"/>
      <c r="AI901" s="983"/>
      <c r="AJ901" s="968"/>
      <c r="AL901" s="937"/>
    </row>
    <row r="902" spans="2:38" s="930" customFormat="1" ht="20.25" customHeight="1" x14ac:dyDescent="0.2">
      <c r="B902" s="936"/>
      <c r="C902" s="936"/>
      <c r="D902" s="936"/>
      <c r="E902" s="936"/>
      <c r="AH902" s="983"/>
      <c r="AI902" s="983"/>
      <c r="AJ902" s="968"/>
      <c r="AL902" s="937"/>
    </row>
    <row r="903" spans="2:38" s="930" customFormat="1" ht="20.25" customHeight="1" x14ac:dyDescent="0.2">
      <c r="B903" s="936"/>
      <c r="C903" s="936"/>
      <c r="D903" s="936"/>
      <c r="E903" s="936"/>
      <c r="AH903" s="983"/>
      <c r="AI903" s="983"/>
      <c r="AJ903" s="968"/>
      <c r="AL903" s="937"/>
    </row>
    <row r="904" spans="2:38" s="930" customFormat="1" ht="20.25" customHeight="1" x14ac:dyDescent="0.2">
      <c r="B904" s="936"/>
      <c r="C904" s="936"/>
      <c r="D904" s="936"/>
      <c r="E904" s="936"/>
      <c r="AH904" s="983"/>
      <c r="AI904" s="983"/>
      <c r="AJ904" s="968"/>
      <c r="AL904" s="937"/>
    </row>
    <row r="905" spans="2:38" s="930" customFormat="1" ht="20.25" customHeight="1" x14ac:dyDescent="0.2">
      <c r="B905" s="936"/>
      <c r="C905" s="936"/>
      <c r="D905" s="936"/>
      <c r="E905" s="936"/>
      <c r="AH905" s="983"/>
      <c r="AI905" s="983"/>
      <c r="AJ905" s="968"/>
      <c r="AL905" s="937"/>
    </row>
    <row r="906" spans="2:38" s="930" customFormat="1" ht="20.25" customHeight="1" x14ac:dyDescent="0.2">
      <c r="B906" s="936"/>
      <c r="C906" s="936"/>
      <c r="D906" s="936"/>
      <c r="E906" s="936"/>
      <c r="AH906" s="983"/>
      <c r="AI906" s="983"/>
      <c r="AJ906" s="968"/>
      <c r="AL906" s="937"/>
    </row>
    <row r="907" spans="2:38" s="930" customFormat="1" ht="20.25" customHeight="1" x14ac:dyDescent="0.2">
      <c r="B907" s="936"/>
      <c r="C907" s="936"/>
      <c r="D907" s="936"/>
      <c r="E907" s="936"/>
      <c r="AH907" s="983"/>
      <c r="AI907" s="983"/>
      <c r="AJ907" s="968"/>
      <c r="AL907" s="937"/>
    </row>
    <row r="908" spans="2:38" s="930" customFormat="1" ht="20.25" customHeight="1" x14ac:dyDescent="0.2">
      <c r="B908" s="936"/>
      <c r="C908" s="936"/>
      <c r="D908" s="936"/>
      <c r="E908" s="936"/>
      <c r="AH908" s="983"/>
      <c r="AI908" s="983"/>
      <c r="AJ908" s="968"/>
      <c r="AL908" s="937"/>
    </row>
    <row r="909" spans="2:38" s="930" customFormat="1" ht="20.25" customHeight="1" x14ac:dyDescent="0.2">
      <c r="B909" s="936"/>
      <c r="C909" s="936"/>
      <c r="D909" s="936"/>
      <c r="E909" s="936"/>
      <c r="AH909" s="983"/>
      <c r="AI909" s="983"/>
      <c r="AJ909" s="968"/>
      <c r="AL909" s="937"/>
    </row>
    <row r="910" spans="2:38" s="930" customFormat="1" ht="20.25" customHeight="1" x14ac:dyDescent="0.2">
      <c r="B910" s="936"/>
      <c r="C910" s="936"/>
      <c r="D910" s="936"/>
      <c r="E910" s="936"/>
      <c r="AH910" s="983"/>
      <c r="AI910" s="983"/>
      <c r="AJ910" s="968"/>
      <c r="AL910" s="937"/>
    </row>
    <row r="911" spans="2:38" s="930" customFormat="1" ht="20.25" customHeight="1" x14ac:dyDescent="0.2">
      <c r="B911" s="936"/>
      <c r="C911" s="936"/>
      <c r="D911" s="936"/>
      <c r="E911" s="936"/>
      <c r="AH911" s="983"/>
      <c r="AI911" s="983"/>
      <c r="AJ911" s="968"/>
      <c r="AL911" s="937"/>
    </row>
    <row r="912" spans="2:38" s="930" customFormat="1" ht="20.25" customHeight="1" x14ac:dyDescent="0.2">
      <c r="B912" s="936"/>
      <c r="C912" s="936"/>
      <c r="D912" s="936"/>
      <c r="E912" s="936"/>
      <c r="AH912" s="983"/>
      <c r="AI912" s="983"/>
      <c r="AJ912" s="968"/>
      <c r="AL912" s="937"/>
    </row>
    <row r="913" spans="2:38" s="930" customFormat="1" ht="20.25" customHeight="1" x14ac:dyDescent="0.2">
      <c r="B913" s="936"/>
      <c r="C913" s="936"/>
      <c r="D913" s="936"/>
      <c r="E913" s="936"/>
      <c r="AH913" s="983"/>
      <c r="AI913" s="983"/>
      <c r="AJ913" s="968"/>
      <c r="AL913" s="937"/>
    </row>
    <row r="914" spans="2:38" s="930" customFormat="1" ht="20.25" customHeight="1" x14ac:dyDescent="0.2">
      <c r="B914" s="936"/>
      <c r="C914" s="936"/>
      <c r="D914" s="936"/>
      <c r="E914" s="936"/>
      <c r="AH914" s="983"/>
      <c r="AI914" s="983"/>
      <c r="AJ914" s="968"/>
      <c r="AL914" s="937"/>
    </row>
    <row r="915" spans="2:38" s="930" customFormat="1" ht="20.25" customHeight="1" x14ac:dyDescent="0.2">
      <c r="B915" s="936"/>
      <c r="C915" s="936"/>
      <c r="D915" s="936"/>
      <c r="E915" s="936"/>
      <c r="AH915" s="983"/>
      <c r="AI915" s="983"/>
      <c r="AJ915" s="968"/>
      <c r="AL915" s="937"/>
    </row>
    <row r="916" spans="2:38" s="930" customFormat="1" ht="20.25" customHeight="1" x14ac:dyDescent="0.2">
      <c r="B916" s="936"/>
      <c r="C916" s="936"/>
      <c r="D916" s="936"/>
      <c r="E916" s="936"/>
      <c r="AH916" s="983"/>
      <c r="AI916" s="983"/>
      <c r="AJ916" s="968"/>
      <c r="AL916" s="937"/>
    </row>
    <row r="917" spans="2:38" s="930" customFormat="1" ht="20.25" customHeight="1" x14ac:dyDescent="0.2">
      <c r="B917" s="936"/>
      <c r="C917" s="936"/>
      <c r="D917" s="936"/>
      <c r="E917" s="936"/>
      <c r="AH917" s="983"/>
      <c r="AI917" s="983"/>
      <c r="AJ917" s="968"/>
      <c r="AL917" s="937"/>
    </row>
    <row r="918" spans="2:38" s="930" customFormat="1" ht="20.25" customHeight="1" x14ac:dyDescent="0.2">
      <c r="B918" s="936"/>
      <c r="C918" s="936"/>
      <c r="D918" s="936"/>
      <c r="E918" s="936"/>
      <c r="AH918" s="983"/>
      <c r="AI918" s="983"/>
      <c r="AJ918" s="968"/>
      <c r="AL918" s="937"/>
    </row>
    <row r="919" spans="2:38" s="930" customFormat="1" ht="20.25" customHeight="1" x14ac:dyDescent="0.2">
      <c r="B919" s="936"/>
      <c r="C919" s="936"/>
      <c r="D919" s="936"/>
      <c r="E919" s="936"/>
      <c r="AH919" s="983"/>
      <c r="AI919" s="983"/>
      <c r="AJ919" s="968"/>
      <c r="AL919" s="937"/>
    </row>
    <row r="920" spans="2:38" s="930" customFormat="1" ht="20.25" customHeight="1" x14ac:dyDescent="0.2">
      <c r="B920" s="936"/>
      <c r="C920" s="936"/>
      <c r="D920" s="936"/>
      <c r="E920" s="936"/>
      <c r="AH920" s="983"/>
      <c r="AI920" s="983"/>
      <c r="AJ920" s="968"/>
      <c r="AL920" s="937"/>
    </row>
    <row r="921" spans="2:38" s="930" customFormat="1" ht="20.25" customHeight="1" x14ac:dyDescent="0.2">
      <c r="B921" s="936"/>
      <c r="C921" s="936"/>
      <c r="D921" s="936"/>
      <c r="E921" s="936"/>
      <c r="AH921" s="983"/>
      <c r="AI921" s="983"/>
      <c r="AJ921" s="968"/>
      <c r="AL921" s="937"/>
    </row>
    <row r="922" spans="2:38" s="930" customFormat="1" ht="20.25" customHeight="1" x14ac:dyDescent="0.2">
      <c r="B922" s="936"/>
      <c r="C922" s="936"/>
      <c r="D922" s="936"/>
      <c r="E922" s="936"/>
      <c r="AH922" s="983"/>
      <c r="AI922" s="983"/>
      <c r="AJ922" s="968"/>
      <c r="AL922" s="937"/>
    </row>
    <row r="923" spans="2:38" s="930" customFormat="1" ht="20.25" customHeight="1" x14ac:dyDescent="0.2">
      <c r="B923" s="936"/>
      <c r="C923" s="936"/>
      <c r="D923" s="936"/>
      <c r="E923" s="936"/>
      <c r="AH923" s="983"/>
      <c r="AI923" s="983"/>
      <c r="AJ923" s="968"/>
      <c r="AL923" s="937"/>
    </row>
    <row r="924" spans="2:38" s="930" customFormat="1" ht="20.25" customHeight="1" x14ac:dyDescent="0.2">
      <c r="B924" s="936"/>
      <c r="C924" s="936"/>
      <c r="D924" s="936"/>
      <c r="E924" s="936"/>
      <c r="AH924" s="983"/>
      <c r="AI924" s="983"/>
      <c r="AJ924" s="968"/>
      <c r="AL924" s="937"/>
    </row>
    <row r="925" spans="2:38" s="930" customFormat="1" ht="20.25" customHeight="1" x14ac:dyDescent="0.2">
      <c r="B925" s="936"/>
      <c r="C925" s="936"/>
      <c r="D925" s="936"/>
      <c r="E925" s="936"/>
      <c r="AH925" s="983"/>
      <c r="AI925" s="983"/>
      <c r="AJ925" s="968"/>
      <c r="AL925" s="937"/>
    </row>
    <row r="926" spans="2:38" s="930" customFormat="1" ht="20.25" customHeight="1" x14ac:dyDescent="0.2">
      <c r="B926" s="936"/>
      <c r="C926" s="936"/>
      <c r="D926" s="936"/>
      <c r="E926" s="936"/>
      <c r="AH926" s="983"/>
      <c r="AI926" s="983"/>
      <c r="AJ926" s="968"/>
      <c r="AL926" s="937"/>
    </row>
    <row r="927" spans="2:38" s="930" customFormat="1" ht="20.25" customHeight="1" x14ac:dyDescent="0.2">
      <c r="B927" s="936"/>
      <c r="C927" s="936"/>
      <c r="D927" s="936"/>
      <c r="E927" s="936"/>
      <c r="AH927" s="983"/>
      <c r="AI927" s="983"/>
      <c r="AJ927" s="968"/>
      <c r="AL927" s="937"/>
    </row>
    <row r="928" spans="2:38" s="930" customFormat="1" ht="20.25" customHeight="1" x14ac:dyDescent="0.2">
      <c r="B928" s="936"/>
      <c r="C928" s="936"/>
      <c r="D928" s="936"/>
      <c r="E928" s="936"/>
      <c r="AH928" s="983"/>
      <c r="AI928" s="983"/>
      <c r="AJ928" s="968"/>
      <c r="AL928" s="937"/>
    </row>
    <row r="929" spans="2:38" s="930" customFormat="1" ht="20.25" customHeight="1" x14ac:dyDescent="0.2">
      <c r="B929" s="936"/>
      <c r="C929" s="936"/>
      <c r="D929" s="936"/>
      <c r="E929" s="936"/>
      <c r="AH929" s="983"/>
      <c r="AI929" s="983"/>
      <c r="AJ929" s="968"/>
      <c r="AL929" s="937"/>
    </row>
    <row r="930" spans="2:38" s="930" customFormat="1" ht="20.25" customHeight="1" x14ac:dyDescent="0.2">
      <c r="B930" s="936"/>
      <c r="C930" s="936"/>
      <c r="D930" s="936"/>
      <c r="E930" s="936"/>
      <c r="AH930" s="983"/>
      <c r="AI930" s="983"/>
      <c r="AJ930" s="968"/>
      <c r="AL930" s="937"/>
    </row>
    <row r="931" spans="2:38" s="930" customFormat="1" ht="20.25" customHeight="1" x14ac:dyDescent="0.2">
      <c r="B931" s="936"/>
      <c r="C931" s="936"/>
      <c r="D931" s="936"/>
      <c r="E931" s="936"/>
      <c r="AH931" s="983"/>
      <c r="AI931" s="983"/>
      <c r="AJ931" s="968"/>
      <c r="AL931" s="937"/>
    </row>
    <row r="932" spans="2:38" s="930" customFormat="1" ht="20.25" customHeight="1" x14ac:dyDescent="0.2">
      <c r="B932" s="936"/>
      <c r="C932" s="936"/>
      <c r="D932" s="936"/>
      <c r="E932" s="936"/>
      <c r="AH932" s="983"/>
      <c r="AI932" s="983"/>
      <c r="AJ932" s="968"/>
      <c r="AL932" s="937"/>
    </row>
    <row r="933" spans="2:38" s="930" customFormat="1" ht="20.25" customHeight="1" x14ac:dyDescent="0.2">
      <c r="B933" s="936"/>
      <c r="C933" s="936"/>
      <c r="D933" s="936"/>
      <c r="E933" s="936"/>
      <c r="AH933" s="983"/>
      <c r="AI933" s="983"/>
      <c r="AJ933" s="968"/>
      <c r="AL933" s="937"/>
    </row>
    <row r="934" spans="2:38" s="930" customFormat="1" ht="20.25" customHeight="1" x14ac:dyDescent="0.2">
      <c r="B934" s="936"/>
      <c r="C934" s="936"/>
      <c r="D934" s="936"/>
      <c r="E934" s="936"/>
      <c r="AH934" s="983"/>
      <c r="AI934" s="983"/>
      <c r="AJ934" s="968"/>
      <c r="AL934" s="937"/>
    </row>
    <row r="935" spans="2:38" s="930" customFormat="1" ht="20.25" customHeight="1" x14ac:dyDescent="0.2">
      <c r="B935" s="936"/>
      <c r="C935" s="936"/>
      <c r="D935" s="936"/>
      <c r="E935" s="936"/>
      <c r="AH935" s="983"/>
      <c r="AI935" s="983"/>
      <c r="AJ935" s="968"/>
      <c r="AL935" s="937"/>
    </row>
    <row r="936" spans="2:38" s="930" customFormat="1" ht="20.25" customHeight="1" x14ac:dyDescent="0.2">
      <c r="B936" s="936"/>
      <c r="C936" s="936"/>
      <c r="D936" s="936"/>
      <c r="E936" s="936"/>
      <c r="AH936" s="983"/>
      <c r="AI936" s="983"/>
      <c r="AJ936" s="968"/>
      <c r="AL936" s="937"/>
    </row>
    <row r="937" spans="2:38" s="930" customFormat="1" ht="20.25" customHeight="1" x14ac:dyDescent="0.2">
      <c r="B937" s="936"/>
      <c r="C937" s="936"/>
      <c r="D937" s="936"/>
      <c r="E937" s="936"/>
      <c r="AH937" s="983"/>
      <c r="AI937" s="983"/>
      <c r="AJ937" s="968"/>
      <c r="AL937" s="937"/>
    </row>
    <row r="938" spans="2:38" s="930" customFormat="1" ht="20.25" customHeight="1" x14ac:dyDescent="0.2">
      <c r="B938" s="936"/>
      <c r="C938" s="936"/>
      <c r="D938" s="936"/>
      <c r="E938" s="936"/>
      <c r="AH938" s="983"/>
      <c r="AI938" s="983"/>
      <c r="AJ938" s="968"/>
      <c r="AL938" s="937"/>
    </row>
    <row r="939" spans="2:38" s="930" customFormat="1" ht="20.25" customHeight="1" x14ac:dyDescent="0.2">
      <c r="B939" s="936"/>
      <c r="C939" s="936"/>
      <c r="D939" s="936"/>
      <c r="E939" s="936"/>
      <c r="AH939" s="983"/>
      <c r="AI939" s="983"/>
      <c r="AJ939" s="968"/>
      <c r="AL939" s="937"/>
    </row>
    <row r="940" spans="2:38" s="930" customFormat="1" ht="20.25" customHeight="1" x14ac:dyDescent="0.2">
      <c r="B940" s="936"/>
      <c r="C940" s="936"/>
      <c r="D940" s="936"/>
      <c r="E940" s="936"/>
      <c r="AH940" s="983"/>
      <c r="AI940" s="983"/>
      <c r="AJ940" s="968"/>
      <c r="AL940" s="937"/>
    </row>
    <row r="941" spans="2:38" s="930" customFormat="1" ht="20.25" customHeight="1" x14ac:dyDescent="0.2">
      <c r="B941" s="936"/>
      <c r="C941" s="936"/>
      <c r="D941" s="936"/>
      <c r="E941" s="936"/>
      <c r="AH941" s="983"/>
      <c r="AI941" s="983"/>
      <c r="AJ941" s="968"/>
      <c r="AL941" s="937"/>
    </row>
    <row r="942" spans="2:38" s="930" customFormat="1" ht="20.25" customHeight="1" x14ac:dyDescent="0.2">
      <c r="B942" s="936"/>
      <c r="C942" s="936"/>
      <c r="D942" s="936"/>
      <c r="E942" s="936"/>
      <c r="AH942" s="983"/>
      <c r="AI942" s="983"/>
      <c r="AJ942" s="968"/>
      <c r="AL942" s="937"/>
    </row>
    <row r="943" spans="2:38" s="930" customFormat="1" ht="20.25" customHeight="1" x14ac:dyDescent="0.2">
      <c r="B943" s="936"/>
      <c r="C943" s="936"/>
      <c r="D943" s="936"/>
      <c r="E943" s="936"/>
      <c r="AH943" s="983"/>
      <c r="AI943" s="983"/>
      <c r="AJ943" s="968"/>
      <c r="AL943" s="937"/>
    </row>
    <row r="944" spans="2:38" s="930" customFormat="1" ht="20.25" customHeight="1" x14ac:dyDescent="0.2">
      <c r="B944" s="936"/>
      <c r="C944" s="936"/>
      <c r="D944" s="936"/>
      <c r="E944" s="936"/>
      <c r="AH944" s="983"/>
      <c r="AI944" s="983"/>
      <c r="AJ944" s="968"/>
      <c r="AL944" s="937"/>
    </row>
    <row r="945" spans="2:38" s="930" customFormat="1" ht="20.25" customHeight="1" x14ac:dyDescent="0.2">
      <c r="B945" s="936"/>
      <c r="C945" s="936"/>
      <c r="D945" s="936"/>
      <c r="E945" s="936"/>
      <c r="AH945" s="983"/>
      <c r="AI945" s="983"/>
      <c r="AJ945" s="968"/>
      <c r="AL945" s="937"/>
    </row>
    <row r="946" spans="2:38" s="930" customFormat="1" ht="20.25" customHeight="1" x14ac:dyDescent="0.2">
      <c r="B946" s="936"/>
      <c r="C946" s="936"/>
      <c r="D946" s="936"/>
      <c r="E946" s="936"/>
      <c r="AH946" s="983"/>
      <c r="AI946" s="983"/>
      <c r="AJ946" s="968"/>
      <c r="AL946" s="937"/>
    </row>
    <row r="947" spans="2:38" s="930" customFormat="1" ht="20.25" customHeight="1" x14ac:dyDescent="0.2">
      <c r="B947" s="936"/>
      <c r="C947" s="936"/>
      <c r="D947" s="936"/>
      <c r="E947" s="936"/>
      <c r="AH947" s="983"/>
      <c r="AI947" s="983"/>
      <c r="AJ947" s="968"/>
      <c r="AL947" s="937"/>
    </row>
    <row r="948" spans="2:38" s="930" customFormat="1" ht="20.25" customHeight="1" x14ac:dyDescent="0.2">
      <c r="B948" s="936"/>
      <c r="C948" s="936"/>
      <c r="D948" s="936"/>
      <c r="E948" s="936"/>
      <c r="AH948" s="983"/>
      <c r="AI948" s="983"/>
      <c r="AJ948" s="968"/>
      <c r="AL948" s="937"/>
    </row>
    <row r="949" spans="2:38" s="930" customFormat="1" ht="20.25" customHeight="1" x14ac:dyDescent="0.2">
      <c r="B949" s="936"/>
      <c r="C949" s="936"/>
      <c r="D949" s="936"/>
      <c r="E949" s="936"/>
      <c r="AH949" s="983"/>
      <c r="AI949" s="983"/>
      <c r="AJ949" s="968"/>
      <c r="AL949" s="937"/>
    </row>
    <row r="950" spans="2:38" s="930" customFormat="1" ht="20.25" customHeight="1" x14ac:dyDescent="0.2">
      <c r="B950" s="936"/>
      <c r="C950" s="936"/>
      <c r="D950" s="936"/>
      <c r="E950" s="936"/>
      <c r="AH950" s="983"/>
      <c r="AI950" s="983"/>
      <c r="AJ950" s="968"/>
      <c r="AL950" s="937"/>
    </row>
    <row r="951" spans="2:38" s="930" customFormat="1" ht="20.25" customHeight="1" x14ac:dyDescent="0.2">
      <c r="B951" s="936"/>
      <c r="C951" s="936"/>
      <c r="D951" s="936"/>
      <c r="E951" s="936"/>
      <c r="AH951" s="983"/>
      <c r="AI951" s="983"/>
      <c r="AJ951" s="968"/>
      <c r="AL951" s="937"/>
    </row>
    <row r="952" spans="2:38" s="930" customFormat="1" ht="20.25" customHeight="1" x14ac:dyDescent="0.2">
      <c r="B952" s="936"/>
      <c r="C952" s="936"/>
      <c r="D952" s="936"/>
      <c r="E952" s="936"/>
      <c r="AH952" s="983"/>
      <c r="AI952" s="983"/>
      <c r="AJ952" s="968"/>
      <c r="AL952" s="937"/>
    </row>
    <row r="953" spans="2:38" s="930" customFormat="1" ht="20.25" customHeight="1" x14ac:dyDescent="0.2">
      <c r="B953" s="936"/>
      <c r="C953" s="936"/>
      <c r="D953" s="936"/>
      <c r="E953" s="936"/>
      <c r="AH953" s="983"/>
      <c r="AI953" s="983"/>
      <c r="AJ953" s="968"/>
      <c r="AL953" s="937"/>
    </row>
    <row r="954" spans="2:38" s="930" customFormat="1" ht="20.25" customHeight="1" x14ac:dyDescent="0.2">
      <c r="B954" s="936"/>
      <c r="C954" s="936"/>
      <c r="D954" s="936"/>
      <c r="E954" s="936"/>
      <c r="AH954" s="983"/>
      <c r="AI954" s="983"/>
      <c r="AJ954" s="968"/>
      <c r="AL954" s="937"/>
    </row>
    <row r="955" spans="2:38" s="930" customFormat="1" ht="20.25" customHeight="1" x14ac:dyDescent="0.2">
      <c r="B955" s="936"/>
      <c r="C955" s="936"/>
      <c r="D955" s="936"/>
      <c r="E955" s="936"/>
      <c r="AH955" s="983"/>
      <c r="AI955" s="983"/>
      <c r="AJ955" s="968"/>
      <c r="AL955" s="937"/>
    </row>
    <row r="956" spans="2:38" s="930" customFormat="1" ht="20.25" customHeight="1" x14ac:dyDescent="0.2">
      <c r="B956" s="936"/>
      <c r="C956" s="936"/>
      <c r="D956" s="936"/>
      <c r="E956" s="936"/>
      <c r="AH956" s="983"/>
      <c r="AI956" s="983"/>
      <c r="AJ956" s="968"/>
      <c r="AL956" s="937"/>
    </row>
    <row r="957" spans="2:38" s="930" customFormat="1" ht="20.25" customHeight="1" x14ac:dyDescent="0.2">
      <c r="B957" s="936"/>
      <c r="C957" s="936"/>
      <c r="D957" s="936"/>
      <c r="E957" s="936"/>
      <c r="AH957" s="983"/>
      <c r="AI957" s="983"/>
      <c r="AJ957" s="968"/>
      <c r="AL957" s="937"/>
    </row>
    <row r="958" spans="2:38" s="930" customFormat="1" ht="20.25" customHeight="1" x14ac:dyDescent="0.2">
      <c r="B958" s="936"/>
      <c r="C958" s="936"/>
      <c r="D958" s="936"/>
      <c r="E958" s="936"/>
      <c r="AH958" s="983"/>
      <c r="AI958" s="983"/>
      <c r="AJ958" s="968"/>
      <c r="AL958" s="937"/>
    </row>
    <row r="959" spans="2:38" s="930" customFormat="1" ht="20.25" customHeight="1" x14ac:dyDescent="0.2">
      <c r="B959" s="936"/>
      <c r="C959" s="936"/>
      <c r="D959" s="936"/>
      <c r="E959" s="936"/>
      <c r="AH959" s="983"/>
      <c r="AI959" s="983"/>
      <c r="AJ959" s="968"/>
      <c r="AL959" s="937"/>
    </row>
    <row r="960" spans="2:38" s="930" customFormat="1" ht="20.25" customHeight="1" x14ac:dyDescent="0.2">
      <c r="B960" s="936"/>
      <c r="C960" s="936"/>
      <c r="D960" s="936"/>
      <c r="E960" s="936"/>
      <c r="AH960" s="983"/>
      <c r="AI960" s="983"/>
      <c r="AJ960" s="968"/>
      <c r="AL960" s="937"/>
    </row>
    <row r="961" spans="2:38" s="930" customFormat="1" ht="20.25" customHeight="1" x14ac:dyDescent="0.2">
      <c r="B961" s="936"/>
      <c r="C961" s="936"/>
      <c r="D961" s="936"/>
      <c r="E961" s="936"/>
      <c r="AH961" s="983"/>
      <c r="AI961" s="983"/>
      <c r="AJ961" s="968"/>
      <c r="AL961" s="937"/>
    </row>
    <row r="962" spans="2:38" s="930" customFormat="1" ht="20.25" customHeight="1" x14ac:dyDescent="0.2">
      <c r="B962" s="936"/>
      <c r="C962" s="936"/>
      <c r="D962" s="936"/>
      <c r="E962" s="936"/>
      <c r="AH962" s="983"/>
      <c r="AI962" s="983"/>
      <c r="AJ962" s="968"/>
      <c r="AL962" s="937"/>
    </row>
    <row r="963" spans="2:38" s="930" customFormat="1" ht="20.25" customHeight="1" x14ac:dyDescent="0.2">
      <c r="B963" s="936"/>
      <c r="C963" s="936"/>
      <c r="D963" s="936"/>
      <c r="E963" s="936"/>
      <c r="AH963" s="983"/>
      <c r="AI963" s="983"/>
      <c r="AJ963" s="968"/>
      <c r="AL963" s="937"/>
    </row>
    <row r="964" spans="2:38" s="930" customFormat="1" ht="20.25" customHeight="1" x14ac:dyDescent="0.2">
      <c r="B964" s="936"/>
      <c r="C964" s="936"/>
      <c r="D964" s="936"/>
      <c r="E964" s="936"/>
      <c r="AH964" s="983"/>
      <c r="AI964" s="983"/>
      <c r="AJ964" s="968"/>
      <c r="AL964" s="937"/>
    </row>
    <row r="965" spans="2:38" s="930" customFormat="1" ht="20.25" customHeight="1" x14ac:dyDescent="0.2">
      <c r="B965" s="936"/>
      <c r="C965" s="936"/>
      <c r="D965" s="936"/>
      <c r="E965" s="936"/>
      <c r="AH965" s="983"/>
      <c r="AI965" s="983"/>
      <c r="AJ965" s="968"/>
      <c r="AL965" s="937"/>
    </row>
    <row r="966" spans="2:38" s="930" customFormat="1" ht="20.25" customHeight="1" x14ac:dyDescent="0.2">
      <c r="B966" s="936"/>
      <c r="C966" s="936"/>
      <c r="D966" s="936"/>
      <c r="E966" s="936"/>
      <c r="AH966" s="983"/>
      <c r="AI966" s="983"/>
      <c r="AJ966" s="968"/>
      <c r="AL966" s="937"/>
    </row>
    <row r="967" spans="2:38" s="930" customFormat="1" ht="20.25" customHeight="1" x14ac:dyDescent="0.2">
      <c r="B967" s="936"/>
      <c r="C967" s="936"/>
      <c r="D967" s="936"/>
      <c r="E967" s="936"/>
      <c r="AH967" s="983"/>
      <c r="AI967" s="983"/>
      <c r="AJ967" s="968"/>
      <c r="AL967" s="937"/>
    </row>
    <row r="968" spans="2:38" s="930" customFormat="1" ht="20.25" customHeight="1" x14ac:dyDescent="0.2">
      <c r="B968" s="936"/>
      <c r="C968" s="936"/>
      <c r="D968" s="936"/>
      <c r="E968" s="936"/>
      <c r="AH968" s="983"/>
      <c r="AI968" s="983"/>
      <c r="AJ968" s="968"/>
      <c r="AL968" s="937"/>
    </row>
    <row r="969" spans="2:38" s="930" customFormat="1" ht="20.25" customHeight="1" x14ac:dyDescent="0.2">
      <c r="B969" s="936"/>
      <c r="C969" s="936"/>
      <c r="D969" s="936"/>
      <c r="E969" s="936"/>
      <c r="AH969" s="983"/>
      <c r="AI969" s="983"/>
      <c r="AJ969" s="968"/>
      <c r="AL969" s="937"/>
    </row>
    <row r="970" spans="2:38" s="930" customFormat="1" ht="20.25" customHeight="1" x14ac:dyDescent="0.2">
      <c r="B970" s="936"/>
      <c r="C970" s="936"/>
      <c r="D970" s="936"/>
      <c r="E970" s="936"/>
      <c r="AH970" s="983"/>
      <c r="AI970" s="983"/>
      <c r="AJ970" s="968"/>
      <c r="AL970" s="937"/>
    </row>
    <row r="971" spans="2:38" s="930" customFormat="1" ht="20.25" customHeight="1" x14ac:dyDescent="0.2">
      <c r="B971" s="936"/>
      <c r="C971" s="936"/>
      <c r="D971" s="936"/>
      <c r="E971" s="936"/>
      <c r="AH971" s="983"/>
      <c r="AI971" s="983"/>
      <c r="AJ971" s="968"/>
      <c r="AL971" s="937"/>
    </row>
    <row r="972" spans="2:38" s="930" customFormat="1" ht="20.25" customHeight="1" x14ac:dyDescent="0.2">
      <c r="B972" s="936"/>
      <c r="C972" s="936"/>
      <c r="D972" s="936"/>
      <c r="E972" s="936"/>
      <c r="AH972" s="983"/>
      <c r="AI972" s="983"/>
      <c r="AJ972" s="968"/>
      <c r="AL972" s="937"/>
    </row>
    <row r="973" spans="2:38" s="930" customFormat="1" ht="20.25" customHeight="1" x14ac:dyDescent="0.2">
      <c r="B973" s="936"/>
      <c r="C973" s="936"/>
      <c r="D973" s="936"/>
      <c r="E973" s="936"/>
      <c r="AH973" s="983"/>
      <c r="AI973" s="983"/>
      <c r="AJ973" s="968"/>
      <c r="AL973" s="937"/>
    </row>
    <row r="974" spans="2:38" s="930" customFormat="1" ht="20.25" customHeight="1" x14ac:dyDescent="0.2">
      <c r="B974" s="936"/>
      <c r="C974" s="936"/>
      <c r="D974" s="936"/>
      <c r="E974" s="936"/>
      <c r="AH974" s="983"/>
      <c r="AI974" s="983"/>
      <c r="AJ974" s="968"/>
      <c r="AL974" s="937"/>
    </row>
    <row r="975" spans="2:38" s="930" customFormat="1" ht="20.25" customHeight="1" x14ac:dyDescent="0.2">
      <c r="B975" s="936"/>
      <c r="C975" s="936"/>
      <c r="D975" s="936"/>
      <c r="E975" s="936"/>
      <c r="AH975" s="983"/>
      <c r="AI975" s="983"/>
      <c r="AJ975" s="968"/>
      <c r="AL975" s="937"/>
    </row>
    <row r="976" spans="2:38" s="930" customFormat="1" ht="20.25" customHeight="1" x14ac:dyDescent="0.2">
      <c r="B976" s="936"/>
      <c r="C976" s="936"/>
      <c r="D976" s="936"/>
      <c r="E976" s="936"/>
      <c r="AH976" s="983"/>
      <c r="AI976" s="983"/>
      <c r="AJ976" s="968"/>
      <c r="AL976" s="937"/>
    </row>
    <row r="977" spans="2:38" s="930" customFormat="1" ht="20.25" customHeight="1" x14ac:dyDescent="0.2">
      <c r="B977" s="936"/>
      <c r="C977" s="936"/>
      <c r="D977" s="936"/>
      <c r="E977" s="936"/>
      <c r="AH977" s="983"/>
      <c r="AI977" s="983"/>
      <c r="AJ977" s="968"/>
      <c r="AL977" s="937"/>
    </row>
    <row r="978" spans="2:38" s="930" customFormat="1" ht="20.25" customHeight="1" x14ac:dyDescent="0.2">
      <c r="B978" s="936"/>
      <c r="C978" s="936"/>
      <c r="D978" s="936"/>
      <c r="E978" s="936"/>
      <c r="AH978" s="983"/>
      <c r="AI978" s="983"/>
      <c r="AJ978" s="968"/>
      <c r="AL978" s="937"/>
    </row>
    <row r="979" spans="2:38" s="930" customFormat="1" ht="20.25" customHeight="1" x14ac:dyDescent="0.2">
      <c r="B979" s="936"/>
      <c r="C979" s="936"/>
      <c r="D979" s="936"/>
      <c r="E979" s="936"/>
      <c r="AH979" s="983"/>
      <c r="AI979" s="983"/>
      <c r="AJ979" s="968"/>
      <c r="AL979" s="937"/>
    </row>
    <row r="980" spans="2:38" s="930" customFormat="1" ht="20.25" customHeight="1" x14ac:dyDescent="0.2">
      <c r="B980" s="936"/>
      <c r="C980" s="936"/>
      <c r="D980" s="936"/>
      <c r="E980" s="936"/>
      <c r="AH980" s="983"/>
      <c r="AI980" s="983"/>
      <c r="AJ980" s="968"/>
      <c r="AL980" s="937"/>
    </row>
    <row r="981" spans="2:38" s="930" customFormat="1" ht="20.25" customHeight="1" x14ac:dyDescent="0.2">
      <c r="B981" s="936"/>
      <c r="C981" s="936"/>
      <c r="D981" s="936"/>
      <c r="E981" s="936"/>
      <c r="AH981" s="983"/>
      <c r="AI981" s="983"/>
      <c r="AJ981" s="968"/>
      <c r="AL981" s="937"/>
    </row>
    <row r="982" spans="2:38" s="930" customFormat="1" ht="20.25" customHeight="1" x14ac:dyDescent="0.2">
      <c r="B982" s="936"/>
      <c r="C982" s="936"/>
      <c r="D982" s="936"/>
      <c r="E982" s="936"/>
      <c r="AH982" s="983"/>
      <c r="AI982" s="983"/>
      <c r="AJ982" s="968"/>
      <c r="AL982" s="937"/>
    </row>
    <row r="983" spans="2:38" s="930" customFormat="1" ht="20.25" customHeight="1" x14ac:dyDescent="0.2">
      <c r="B983" s="936"/>
      <c r="C983" s="936"/>
      <c r="D983" s="936"/>
      <c r="E983" s="936"/>
      <c r="AH983" s="983"/>
      <c r="AI983" s="983"/>
      <c r="AJ983" s="968"/>
      <c r="AL983" s="937"/>
    </row>
    <row r="984" spans="2:38" s="930" customFormat="1" ht="20.25" customHeight="1" x14ac:dyDescent="0.2">
      <c r="B984" s="936"/>
      <c r="C984" s="936"/>
      <c r="D984" s="936"/>
      <c r="E984" s="936"/>
      <c r="AH984" s="983"/>
      <c r="AI984" s="983"/>
      <c r="AJ984" s="968"/>
      <c r="AL984" s="937"/>
    </row>
    <row r="985" spans="2:38" s="930" customFormat="1" ht="20.25" customHeight="1" x14ac:dyDescent="0.2">
      <c r="B985" s="936"/>
      <c r="C985" s="936"/>
      <c r="D985" s="936"/>
      <c r="E985" s="936"/>
      <c r="AH985" s="983"/>
      <c r="AI985" s="983"/>
      <c r="AJ985" s="968"/>
      <c r="AL985" s="937"/>
    </row>
    <row r="986" spans="2:38" s="930" customFormat="1" ht="20.25" customHeight="1" x14ac:dyDescent="0.2">
      <c r="B986" s="936"/>
      <c r="C986" s="936"/>
      <c r="D986" s="936"/>
      <c r="E986" s="936"/>
      <c r="AH986" s="983"/>
      <c r="AI986" s="983"/>
      <c r="AJ986" s="968"/>
      <c r="AL986" s="937"/>
    </row>
    <row r="987" spans="2:38" s="930" customFormat="1" ht="20.25" customHeight="1" x14ac:dyDescent="0.2">
      <c r="B987" s="936"/>
      <c r="C987" s="936"/>
      <c r="D987" s="936"/>
      <c r="E987" s="936"/>
      <c r="AH987" s="983"/>
      <c r="AI987" s="983"/>
      <c r="AJ987" s="968"/>
      <c r="AL987" s="937"/>
    </row>
    <row r="988" spans="2:38" s="930" customFormat="1" ht="20.25" customHeight="1" x14ac:dyDescent="0.2">
      <c r="B988" s="936"/>
      <c r="C988" s="936"/>
      <c r="D988" s="936"/>
      <c r="E988" s="936"/>
      <c r="AH988" s="983"/>
      <c r="AI988" s="983"/>
      <c r="AJ988" s="968"/>
      <c r="AL988" s="937"/>
    </row>
    <row r="989" spans="2:38" s="930" customFormat="1" ht="20.25" customHeight="1" x14ac:dyDescent="0.2">
      <c r="B989" s="936"/>
      <c r="C989" s="936"/>
      <c r="D989" s="936"/>
      <c r="E989" s="936"/>
      <c r="AH989" s="983"/>
      <c r="AI989" s="983"/>
      <c r="AJ989" s="968"/>
      <c r="AL989" s="937"/>
    </row>
    <row r="990" spans="2:38" s="930" customFormat="1" ht="20.25" customHeight="1" x14ac:dyDescent="0.2">
      <c r="B990" s="936"/>
      <c r="C990" s="936"/>
      <c r="D990" s="936"/>
      <c r="E990" s="936"/>
      <c r="AH990" s="983"/>
      <c r="AI990" s="983"/>
      <c r="AJ990" s="968"/>
      <c r="AL990" s="937"/>
    </row>
    <row r="991" spans="2:38" s="930" customFormat="1" ht="20.25" customHeight="1" x14ac:dyDescent="0.2">
      <c r="B991" s="936"/>
      <c r="C991" s="936"/>
      <c r="D991" s="936"/>
      <c r="E991" s="936"/>
      <c r="AH991" s="983"/>
      <c r="AI991" s="983"/>
      <c r="AJ991" s="968"/>
      <c r="AL991" s="937"/>
    </row>
    <row r="992" spans="2:38" s="930" customFormat="1" ht="20.25" customHeight="1" x14ac:dyDescent="0.2">
      <c r="B992" s="936"/>
      <c r="C992" s="936"/>
      <c r="D992" s="936"/>
      <c r="E992" s="936"/>
      <c r="AH992" s="983"/>
      <c r="AI992" s="983"/>
      <c r="AJ992" s="968"/>
      <c r="AL992" s="937"/>
    </row>
    <row r="993" spans="2:38" s="930" customFormat="1" ht="20.25" customHeight="1" x14ac:dyDescent="0.2">
      <c r="B993" s="936"/>
      <c r="C993" s="936"/>
      <c r="D993" s="936"/>
      <c r="E993" s="936"/>
      <c r="AH993" s="983"/>
      <c r="AI993" s="983"/>
      <c r="AJ993" s="968"/>
      <c r="AL993" s="937"/>
    </row>
    <row r="994" spans="2:38" s="930" customFormat="1" ht="20.25" customHeight="1" x14ac:dyDescent="0.2">
      <c r="B994" s="936"/>
      <c r="C994" s="936"/>
      <c r="D994" s="936"/>
      <c r="E994" s="936"/>
      <c r="AH994" s="983"/>
      <c r="AI994" s="983"/>
      <c r="AJ994" s="968"/>
      <c r="AL994" s="937"/>
    </row>
    <row r="995" spans="2:38" s="930" customFormat="1" ht="20.25" customHeight="1" x14ac:dyDescent="0.2">
      <c r="B995" s="936"/>
      <c r="C995" s="936"/>
      <c r="D995" s="936"/>
      <c r="E995" s="936"/>
      <c r="AH995" s="983"/>
      <c r="AI995" s="983"/>
      <c r="AJ995" s="968"/>
      <c r="AL995" s="937"/>
    </row>
    <row r="996" spans="2:38" s="930" customFormat="1" ht="20.25" customHeight="1" x14ac:dyDescent="0.2">
      <c r="B996" s="936"/>
      <c r="C996" s="936"/>
      <c r="D996" s="936"/>
      <c r="E996" s="936"/>
      <c r="AH996" s="983"/>
      <c r="AI996" s="983"/>
      <c r="AJ996" s="968"/>
      <c r="AL996" s="937"/>
    </row>
    <row r="997" spans="2:38" s="930" customFormat="1" ht="20.25" customHeight="1" x14ac:dyDescent="0.2">
      <c r="B997" s="936"/>
      <c r="C997" s="936"/>
      <c r="D997" s="936"/>
      <c r="E997" s="936"/>
      <c r="AH997" s="983"/>
      <c r="AI997" s="983"/>
      <c r="AJ997" s="968"/>
      <c r="AL997" s="937"/>
    </row>
    <row r="998" spans="2:38" s="930" customFormat="1" ht="20.25" customHeight="1" x14ac:dyDescent="0.2">
      <c r="B998" s="936"/>
      <c r="C998" s="936"/>
      <c r="D998" s="936"/>
      <c r="E998" s="936"/>
      <c r="AH998" s="983"/>
      <c r="AI998" s="983"/>
      <c r="AJ998" s="968"/>
      <c r="AL998" s="937"/>
    </row>
    <row r="999" spans="2:38" s="930" customFormat="1" ht="20.25" customHeight="1" x14ac:dyDescent="0.2">
      <c r="B999" s="936"/>
      <c r="C999" s="936"/>
      <c r="D999" s="936"/>
      <c r="E999" s="936"/>
      <c r="AH999" s="983"/>
      <c r="AI999" s="983"/>
      <c r="AJ999" s="968"/>
      <c r="AL999" s="937"/>
    </row>
    <row r="1000" spans="2:38" s="930" customFormat="1" ht="20.25" customHeight="1" x14ac:dyDescent="0.2">
      <c r="B1000" s="936"/>
      <c r="C1000" s="936"/>
      <c r="D1000" s="936"/>
      <c r="E1000" s="936"/>
      <c r="AH1000" s="983"/>
      <c r="AI1000" s="983"/>
      <c r="AJ1000" s="968"/>
      <c r="AL1000" s="937"/>
    </row>
    <row r="1001" spans="2:38" s="930" customFormat="1" ht="20.25" customHeight="1" x14ac:dyDescent="0.2">
      <c r="B1001" s="936"/>
      <c r="C1001" s="936"/>
      <c r="D1001" s="936"/>
      <c r="E1001" s="936"/>
      <c r="AH1001" s="983"/>
      <c r="AI1001" s="983"/>
      <c r="AJ1001" s="968"/>
      <c r="AL1001" s="937"/>
    </row>
    <row r="1002" spans="2:38" s="930" customFormat="1" ht="20.25" customHeight="1" x14ac:dyDescent="0.2">
      <c r="B1002" s="936"/>
      <c r="C1002" s="936"/>
      <c r="D1002" s="936"/>
      <c r="E1002" s="936"/>
      <c r="AH1002" s="983"/>
      <c r="AI1002" s="983"/>
      <c r="AJ1002" s="968"/>
      <c r="AL1002" s="937"/>
    </row>
    <row r="1003" spans="2:38" s="930" customFormat="1" ht="20.25" customHeight="1" x14ac:dyDescent="0.2">
      <c r="B1003" s="936"/>
      <c r="C1003" s="936"/>
      <c r="D1003" s="936"/>
      <c r="E1003" s="936"/>
      <c r="AH1003" s="983"/>
      <c r="AI1003" s="983"/>
      <c r="AJ1003" s="968"/>
      <c r="AL1003" s="937"/>
    </row>
    <row r="1004" spans="2:38" s="930" customFormat="1" ht="20.25" customHeight="1" x14ac:dyDescent="0.2">
      <c r="B1004" s="936"/>
      <c r="C1004" s="936"/>
      <c r="D1004" s="936"/>
      <c r="E1004" s="936"/>
      <c r="AH1004" s="983"/>
      <c r="AI1004" s="983"/>
      <c r="AJ1004" s="968"/>
      <c r="AL1004" s="937"/>
    </row>
    <row r="1005" spans="2:38" s="930" customFormat="1" ht="20.25" customHeight="1" x14ac:dyDescent="0.2">
      <c r="B1005" s="936"/>
      <c r="C1005" s="936"/>
      <c r="D1005" s="936"/>
      <c r="E1005" s="936"/>
      <c r="AH1005" s="983"/>
      <c r="AI1005" s="983"/>
      <c r="AJ1005" s="968"/>
      <c r="AL1005" s="937"/>
    </row>
    <row r="1006" spans="2:38" s="930" customFormat="1" ht="20.25" customHeight="1" x14ac:dyDescent="0.2">
      <c r="B1006" s="936"/>
      <c r="C1006" s="936"/>
      <c r="D1006" s="936"/>
      <c r="E1006" s="936"/>
      <c r="AH1006" s="983"/>
      <c r="AI1006" s="983"/>
      <c r="AJ1006" s="968"/>
      <c r="AL1006" s="937"/>
    </row>
    <row r="1007" spans="2:38" s="930" customFormat="1" ht="20.25" customHeight="1" x14ac:dyDescent="0.2">
      <c r="B1007" s="936"/>
      <c r="C1007" s="936"/>
      <c r="D1007" s="936"/>
      <c r="E1007" s="936"/>
      <c r="AH1007" s="983"/>
      <c r="AI1007" s="983"/>
      <c r="AJ1007" s="968"/>
      <c r="AL1007" s="937"/>
    </row>
    <row r="1008" spans="2:38" s="930" customFormat="1" ht="20.25" customHeight="1" x14ac:dyDescent="0.2">
      <c r="B1008" s="936"/>
      <c r="C1008" s="936"/>
      <c r="D1008" s="936"/>
      <c r="E1008" s="936"/>
      <c r="AH1008" s="983"/>
      <c r="AI1008" s="983"/>
      <c r="AJ1008" s="968"/>
      <c r="AL1008" s="937"/>
    </row>
    <row r="1009" spans="2:38" s="930" customFormat="1" ht="20.25" customHeight="1" x14ac:dyDescent="0.2">
      <c r="B1009" s="936"/>
      <c r="C1009" s="936"/>
      <c r="D1009" s="936"/>
      <c r="E1009" s="936"/>
      <c r="AH1009" s="983"/>
      <c r="AI1009" s="983"/>
      <c r="AJ1009" s="968"/>
      <c r="AL1009" s="937"/>
    </row>
    <row r="1010" spans="2:38" s="930" customFormat="1" ht="20.25" customHeight="1" x14ac:dyDescent="0.2">
      <c r="B1010" s="936"/>
      <c r="C1010" s="936"/>
      <c r="D1010" s="936"/>
      <c r="E1010" s="936"/>
      <c r="AH1010" s="983"/>
      <c r="AI1010" s="983"/>
      <c r="AJ1010" s="968"/>
      <c r="AL1010" s="937"/>
    </row>
    <row r="1011" spans="2:38" s="930" customFormat="1" ht="20.25" customHeight="1" x14ac:dyDescent="0.2">
      <c r="B1011" s="936"/>
      <c r="C1011" s="936"/>
      <c r="D1011" s="936"/>
      <c r="E1011" s="936"/>
      <c r="AH1011" s="983"/>
      <c r="AI1011" s="983"/>
      <c r="AJ1011" s="968"/>
      <c r="AL1011" s="937"/>
    </row>
    <row r="1012" spans="2:38" s="930" customFormat="1" ht="20.25" customHeight="1" x14ac:dyDescent="0.2">
      <c r="B1012" s="936"/>
      <c r="C1012" s="936"/>
      <c r="D1012" s="936"/>
      <c r="E1012" s="936"/>
      <c r="AH1012" s="983"/>
      <c r="AI1012" s="983"/>
      <c r="AJ1012" s="968"/>
      <c r="AL1012" s="937"/>
    </row>
    <row r="1013" spans="2:38" s="930" customFormat="1" ht="20.25" customHeight="1" x14ac:dyDescent="0.2">
      <c r="B1013" s="936"/>
      <c r="C1013" s="936"/>
      <c r="D1013" s="936"/>
      <c r="E1013" s="936"/>
      <c r="AH1013" s="983"/>
      <c r="AI1013" s="983"/>
      <c r="AJ1013" s="968"/>
      <c r="AL1013" s="937"/>
    </row>
    <row r="1014" spans="2:38" s="930" customFormat="1" ht="20.25" customHeight="1" x14ac:dyDescent="0.2">
      <c r="B1014" s="936"/>
      <c r="C1014" s="936"/>
      <c r="D1014" s="936"/>
      <c r="E1014" s="936"/>
      <c r="AH1014" s="983"/>
      <c r="AI1014" s="983"/>
      <c r="AJ1014" s="968"/>
      <c r="AL1014" s="937"/>
    </row>
    <row r="1015" spans="2:38" s="930" customFormat="1" ht="20.25" customHeight="1" x14ac:dyDescent="0.2">
      <c r="B1015" s="936"/>
      <c r="C1015" s="936"/>
      <c r="D1015" s="936"/>
      <c r="E1015" s="936"/>
      <c r="AH1015" s="983"/>
      <c r="AI1015" s="983"/>
      <c r="AJ1015" s="968"/>
      <c r="AL1015" s="937"/>
    </row>
    <row r="1016" spans="2:38" s="930" customFormat="1" ht="20.25" customHeight="1" x14ac:dyDescent="0.2">
      <c r="B1016" s="936"/>
      <c r="C1016" s="936"/>
      <c r="D1016" s="936"/>
      <c r="E1016" s="936"/>
      <c r="AH1016" s="983"/>
      <c r="AI1016" s="983"/>
      <c r="AJ1016" s="968"/>
      <c r="AL1016" s="937"/>
    </row>
    <row r="1017" spans="2:38" s="930" customFormat="1" ht="20.25" customHeight="1" x14ac:dyDescent="0.2">
      <c r="B1017" s="936"/>
      <c r="C1017" s="936"/>
      <c r="D1017" s="936"/>
      <c r="E1017" s="936"/>
      <c r="AH1017" s="983"/>
      <c r="AI1017" s="983"/>
      <c r="AJ1017" s="968"/>
      <c r="AL1017" s="937"/>
    </row>
    <row r="1018" spans="2:38" s="930" customFormat="1" ht="20.25" customHeight="1" x14ac:dyDescent="0.2">
      <c r="B1018" s="936"/>
      <c r="C1018" s="936"/>
      <c r="D1018" s="936"/>
      <c r="E1018" s="936"/>
      <c r="AH1018" s="983"/>
      <c r="AI1018" s="983"/>
      <c r="AJ1018" s="968"/>
      <c r="AL1018" s="937"/>
    </row>
    <row r="1019" spans="2:38" s="930" customFormat="1" ht="20.25" customHeight="1" x14ac:dyDescent="0.2">
      <c r="B1019" s="936"/>
      <c r="C1019" s="936"/>
      <c r="D1019" s="936"/>
      <c r="E1019" s="936"/>
      <c r="AH1019" s="983"/>
      <c r="AI1019" s="983"/>
      <c r="AJ1019" s="968"/>
      <c r="AL1019" s="937"/>
    </row>
    <row r="1020" spans="2:38" s="930" customFormat="1" ht="20.25" customHeight="1" x14ac:dyDescent="0.2">
      <c r="B1020" s="936"/>
      <c r="C1020" s="936"/>
      <c r="D1020" s="936"/>
      <c r="E1020" s="936"/>
      <c r="AH1020" s="983"/>
      <c r="AI1020" s="983"/>
      <c r="AJ1020" s="968"/>
      <c r="AL1020" s="937"/>
    </row>
    <row r="1021" spans="2:38" s="930" customFormat="1" ht="20.25" customHeight="1" x14ac:dyDescent="0.2">
      <c r="B1021" s="936"/>
      <c r="C1021" s="936"/>
      <c r="D1021" s="936"/>
      <c r="E1021" s="936"/>
      <c r="AH1021" s="983"/>
      <c r="AI1021" s="983"/>
      <c r="AJ1021" s="968"/>
      <c r="AL1021" s="937"/>
    </row>
    <row r="1022" spans="2:38" s="930" customFormat="1" ht="20.25" customHeight="1" x14ac:dyDescent="0.2">
      <c r="B1022" s="936"/>
      <c r="C1022" s="936"/>
      <c r="D1022" s="936"/>
      <c r="E1022" s="936"/>
      <c r="AH1022" s="983"/>
      <c r="AI1022" s="983"/>
      <c r="AJ1022" s="968"/>
      <c r="AL1022" s="937"/>
    </row>
    <row r="1023" spans="2:38" s="930" customFormat="1" ht="20.25" customHeight="1" x14ac:dyDescent="0.2">
      <c r="B1023" s="936"/>
      <c r="C1023" s="936"/>
      <c r="D1023" s="936"/>
      <c r="E1023" s="936"/>
      <c r="AH1023" s="983"/>
      <c r="AI1023" s="983"/>
      <c r="AJ1023" s="968"/>
      <c r="AL1023" s="937"/>
    </row>
    <row r="1024" spans="2:38" s="930" customFormat="1" ht="20.25" customHeight="1" x14ac:dyDescent="0.2">
      <c r="B1024" s="936"/>
      <c r="C1024" s="936"/>
      <c r="D1024" s="936"/>
      <c r="E1024" s="936"/>
      <c r="AH1024" s="983"/>
      <c r="AI1024" s="983"/>
      <c r="AJ1024" s="968"/>
      <c r="AL1024" s="937"/>
    </row>
    <row r="1025" spans="2:38" s="930" customFormat="1" ht="20.25" customHeight="1" x14ac:dyDescent="0.2">
      <c r="B1025" s="936"/>
      <c r="C1025" s="936"/>
      <c r="D1025" s="936"/>
      <c r="E1025" s="936"/>
      <c r="AH1025" s="983"/>
      <c r="AI1025" s="983"/>
      <c r="AJ1025" s="968"/>
      <c r="AL1025" s="937"/>
    </row>
    <row r="1026" spans="2:38" s="930" customFormat="1" ht="20.25" customHeight="1" x14ac:dyDescent="0.2">
      <c r="B1026" s="936"/>
      <c r="C1026" s="936"/>
      <c r="D1026" s="936"/>
      <c r="E1026" s="936"/>
      <c r="AH1026" s="983"/>
      <c r="AI1026" s="983"/>
      <c r="AJ1026" s="968"/>
      <c r="AL1026" s="937"/>
    </row>
    <row r="1027" spans="2:38" s="930" customFormat="1" ht="20.25" customHeight="1" x14ac:dyDescent="0.2">
      <c r="B1027" s="936"/>
      <c r="C1027" s="936"/>
      <c r="D1027" s="936"/>
      <c r="E1027" s="936"/>
      <c r="AH1027" s="983"/>
      <c r="AI1027" s="983"/>
      <c r="AJ1027" s="968"/>
      <c r="AL1027" s="937"/>
    </row>
    <row r="1028" spans="2:38" s="930" customFormat="1" ht="20.25" customHeight="1" x14ac:dyDescent="0.2">
      <c r="B1028" s="936"/>
      <c r="C1028" s="936"/>
      <c r="D1028" s="936"/>
      <c r="E1028" s="936"/>
      <c r="AH1028" s="983"/>
      <c r="AI1028" s="983"/>
      <c r="AJ1028" s="968"/>
      <c r="AL1028" s="937"/>
    </row>
    <row r="1029" spans="2:38" s="930" customFormat="1" ht="20.25" customHeight="1" x14ac:dyDescent="0.2">
      <c r="B1029" s="936"/>
      <c r="C1029" s="936"/>
      <c r="D1029" s="936"/>
      <c r="E1029" s="936"/>
      <c r="AH1029" s="983"/>
      <c r="AI1029" s="983"/>
      <c r="AJ1029" s="968"/>
      <c r="AL1029" s="937"/>
    </row>
    <row r="1030" spans="2:38" s="930" customFormat="1" ht="20.25" customHeight="1" x14ac:dyDescent="0.2">
      <c r="B1030" s="936"/>
      <c r="C1030" s="936"/>
      <c r="D1030" s="936"/>
      <c r="E1030" s="936"/>
      <c r="AH1030" s="983"/>
      <c r="AI1030" s="983"/>
      <c r="AJ1030" s="968"/>
      <c r="AL1030" s="937"/>
    </row>
    <row r="1031" spans="2:38" s="930" customFormat="1" ht="20.25" customHeight="1" x14ac:dyDescent="0.2">
      <c r="B1031" s="936"/>
      <c r="C1031" s="936"/>
      <c r="D1031" s="936"/>
      <c r="E1031" s="936"/>
      <c r="AH1031" s="983"/>
      <c r="AI1031" s="983"/>
      <c r="AJ1031" s="968"/>
      <c r="AL1031" s="937"/>
    </row>
    <row r="1032" spans="2:38" s="930" customFormat="1" ht="20.25" customHeight="1" x14ac:dyDescent="0.2">
      <c r="B1032" s="936"/>
      <c r="C1032" s="936"/>
      <c r="D1032" s="936"/>
      <c r="E1032" s="936"/>
      <c r="AH1032" s="983"/>
      <c r="AI1032" s="983"/>
      <c r="AJ1032" s="968"/>
      <c r="AL1032" s="937"/>
    </row>
    <row r="1033" spans="2:38" s="930" customFormat="1" ht="20.25" customHeight="1" x14ac:dyDescent="0.2">
      <c r="B1033" s="936"/>
      <c r="C1033" s="936"/>
      <c r="D1033" s="936"/>
      <c r="E1033" s="936"/>
      <c r="AH1033" s="983"/>
      <c r="AI1033" s="983"/>
      <c r="AJ1033" s="968"/>
      <c r="AL1033" s="937"/>
    </row>
    <row r="1034" spans="2:38" s="930" customFormat="1" ht="20.25" customHeight="1" x14ac:dyDescent="0.2">
      <c r="B1034" s="936"/>
      <c r="C1034" s="936"/>
      <c r="D1034" s="936"/>
      <c r="E1034" s="936"/>
      <c r="AH1034" s="983"/>
      <c r="AI1034" s="983"/>
      <c r="AJ1034" s="968"/>
      <c r="AL1034" s="937"/>
    </row>
    <row r="1035" spans="2:38" s="930" customFormat="1" ht="20.25" customHeight="1" x14ac:dyDescent="0.2">
      <c r="B1035" s="936"/>
      <c r="C1035" s="936"/>
      <c r="D1035" s="936"/>
      <c r="E1035" s="936"/>
      <c r="AH1035" s="983"/>
      <c r="AI1035" s="983"/>
      <c r="AJ1035" s="968"/>
      <c r="AL1035" s="937"/>
    </row>
    <row r="1036" spans="2:38" s="930" customFormat="1" ht="20.25" customHeight="1" x14ac:dyDescent="0.2">
      <c r="B1036" s="936"/>
      <c r="C1036" s="936"/>
      <c r="D1036" s="936"/>
      <c r="E1036" s="936"/>
      <c r="AH1036" s="983"/>
      <c r="AI1036" s="983"/>
      <c r="AJ1036" s="968"/>
      <c r="AL1036" s="937"/>
    </row>
    <row r="1037" spans="2:38" s="930" customFormat="1" ht="20.25" customHeight="1" x14ac:dyDescent="0.2">
      <c r="B1037" s="936"/>
      <c r="C1037" s="936"/>
      <c r="D1037" s="936"/>
      <c r="E1037" s="936"/>
      <c r="AH1037" s="983"/>
      <c r="AI1037" s="983"/>
      <c r="AJ1037" s="968"/>
      <c r="AL1037" s="937"/>
    </row>
    <row r="1038" spans="2:38" s="930" customFormat="1" ht="20.25" customHeight="1" x14ac:dyDescent="0.2">
      <c r="B1038" s="936"/>
      <c r="C1038" s="936"/>
      <c r="D1038" s="936"/>
      <c r="E1038" s="936"/>
      <c r="AH1038" s="983"/>
      <c r="AI1038" s="983"/>
      <c r="AJ1038" s="968"/>
      <c r="AL1038" s="937"/>
    </row>
    <row r="1039" spans="2:38" s="930" customFormat="1" ht="20.25" customHeight="1" x14ac:dyDescent="0.2">
      <c r="B1039" s="936"/>
      <c r="C1039" s="936"/>
      <c r="D1039" s="936"/>
      <c r="E1039" s="936"/>
      <c r="AH1039" s="983"/>
      <c r="AI1039" s="983"/>
      <c r="AJ1039" s="968"/>
      <c r="AL1039" s="937"/>
    </row>
    <row r="1040" spans="2:38" s="930" customFormat="1" ht="20.25" customHeight="1" x14ac:dyDescent="0.2">
      <c r="B1040" s="936"/>
      <c r="C1040" s="936"/>
      <c r="D1040" s="936"/>
      <c r="E1040" s="936"/>
      <c r="AH1040" s="983"/>
      <c r="AI1040" s="983"/>
      <c r="AJ1040" s="968"/>
      <c r="AL1040" s="937"/>
    </row>
    <row r="1041" spans="2:38" s="930" customFormat="1" ht="20.25" customHeight="1" x14ac:dyDescent="0.2">
      <c r="B1041" s="936"/>
      <c r="C1041" s="936"/>
      <c r="D1041" s="936"/>
      <c r="E1041" s="936"/>
      <c r="AH1041" s="983"/>
      <c r="AI1041" s="983"/>
      <c r="AJ1041" s="968"/>
      <c r="AL1041" s="937"/>
    </row>
    <row r="1042" spans="2:38" s="930" customFormat="1" ht="20.25" customHeight="1" x14ac:dyDescent="0.2">
      <c r="B1042" s="936"/>
      <c r="C1042" s="936"/>
      <c r="D1042" s="936"/>
      <c r="E1042" s="936"/>
      <c r="AH1042" s="983"/>
      <c r="AI1042" s="983"/>
      <c r="AJ1042" s="968"/>
      <c r="AL1042" s="937"/>
    </row>
    <row r="1043" spans="2:38" s="930" customFormat="1" ht="20.25" customHeight="1" x14ac:dyDescent="0.2">
      <c r="B1043" s="936"/>
      <c r="C1043" s="936"/>
      <c r="D1043" s="936"/>
      <c r="E1043" s="936"/>
      <c r="AH1043" s="983"/>
      <c r="AI1043" s="983"/>
      <c r="AJ1043" s="968"/>
      <c r="AL1043" s="937"/>
    </row>
    <row r="1044" spans="2:38" s="930" customFormat="1" ht="20.25" customHeight="1" x14ac:dyDescent="0.2">
      <c r="B1044" s="936"/>
      <c r="C1044" s="936"/>
      <c r="D1044" s="936"/>
      <c r="E1044" s="936"/>
      <c r="AH1044" s="983"/>
      <c r="AI1044" s="983"/>
      <c r="AJ1044" s="968"/>
      <c r="AL1044" s="937"/>
    </row>
    <row r="1045" spans="2:38" s="930" customFormat="1" ht="20.25" customHeight="1" x14ac:dyDescent="0.2">
      <c r="B1045" s="936"/>
      <c r="C1045" s="936"/>
      <c r="D1045" s="936"/>
      <c r="E1045" s="936"/>
      <c r="AH1045" s="983"/>
      <c r="AI1045" s="983"/>
      <c r="AJ1045" s="968"/>
      <c r="AL1045" s="937"/>
    </row>
    <row r="1046" spans="2:38" s="930" customFormat="1" ht="20.25" customHeight="1" x14ac:dyDescent="0.2">
      <c r="B1046" s="936"/>
      <c r="C1046" s="936"/>
      <c r="D1046" s="936"/>
      <c r="E1046" s="936"/>
      <c r="AH1046" s="983"/>
      <c r="AI1046" s="983"/>
      <c r="AJ1046" s="968"/>
      <c r="AL1046" s="937"/>
    </row>
    <row r="1047" spans="2:38" s="930" customFormat="1" ht="20.25" customHeight="1" x14ac:dyDescent="0.2">
      <c r="B1047" s="936"/>
      <c r="C1047" s="936"/>
      <c r="D1047" s="936"/>
      <c r="E1047" s="936"/>
      <c r="AH1047" s="983"/>
      <c r="AI1047" s="983"/>
      <c r="AJ1047" s="968"/>
      <c r="AL1047" s="937"/>
    </row>
    <row r="1048" spans="2:38" s="930" customFormat="1" ht="20.25" customHeight="1" x14ac:dyDescent="0.2">
      <c r="B1048" s="936"/>
      <c r="C1048" s="936"/>
      <c r="D1048" s="936"/>
      <c r="E1048" s="936"/>
      <c r="AH1048" s="983"/>
      <c r="AI1048" s="983"/>
      <c r="AJ1048" s="968"/>
      <c r="AL1048" s="937"/>
    </row>
    <row r="1049" spans="2:38" s="930" customFormat="1" ht="20.25" customHeight="1" x14ac:dyDescent="0.2">
      <c r="B1049" s="936"/>
      <c r="C1049" s="936"/>
      <c r="D1049" s="936"/>
      <c r="E1049" s="936"/>
      <c r="AH1049" s="983"/>
      <c r="AI1049" s="983"/>
      <c r="AJ1049" s="968"/>
      <c r="AL1049" s="937"/>
    </row>
    <row r="1050" spans="2:38" s="930" customFormat="1" ht="20.25" customHeight="1" x14ac:dyDescent="0.2">
      <c r="B1050" s="936"/>
      <c r="C1050" s="936"/>
      <c r="D1050" s="936"/>
      <c r="E1050" s="936"/>
      <c r="AH1050" s="983"/>
      <c r="AI1050" s="983"/>
      <c r="AJ1050" s="968"/>
      <c r="AL1050" s="937"/>
    </row>
    <row r="1051" spans="2:38" s="930" customFormat="1" ht="20.25" customHeight="1" x14ac:dyDescent="0.2">
      <c r="B1051" s="936"/>
      <c r="C1051" s="936"/>
      <c r="D1051" s="936"/>
      <c r="E1051" s="936"/>
      <c r="AH1051" s="983"/>
      <c r="AI1051" s="983"/>
      <c r="AJ1051" s="968"/>
      <c r="AL1051" s="937"/>
    </row>
    <row r="1052" spans="2:38" s="930" customFormat="1" ht="20.25" customHeight="1" x14ac:dyDescent="0.2">
      <c r="B1052" s="936"/>
      <c r="C1052" s="936"/>
      <c r="D1052" s="936"/>
      <c r="E1052" s="936"/>
      <c r="AH1052" s="983"/>
      <c r="AI1052" s="983"/>
      <c r="AJ1052" s="968"/>
      <c r="AL1052" s="937"/>
    </row>
    <row r="1053" spans="2:38" s="930" customFormat="1" ht="20.25" customHeight="1" x14ac:dyDescent="0.2">
      <c r="B1053" s="936"/>
      <c r="C1053" s="936"/>
      <c r="D1053" s="936"/>
      <c r="E1053" s="936"/>
      <c r="AH1053" s="983"/>
      <c r="AI1053" s="983"/>
      <c r="AJ1053" s="968"/>
      <c r="AL1053" s="937"/>
    </row>
    <row r="1054" spans="2:38" s="930" customFormat="1" ht="20.25" customHeight="1" x14ac:dyDescent="0.2">
      <c r="B1054" s="936"/>
      <c r="C1054" s="936"/>
      <c r="D1054" s="936"/>
      <c r="E1054" s="936"/>
      <c r="AH1054" s="983"/>
      <c r="AI1054" s="983"/>
      <c r="AJ1054" s="968"/>
      <c r="AL1054" s="937"/>
    </row>
    <row r="1055" spans="2:38" s="930" customFormat="1" ht="20.25" customHeight="1" x14ac:dyDescent="0.2">
      <c r="B1055" s="936"/>
      <c r="C1055" s="936"/>
      <c r="D1055" s="936"/>
      <c r="E1055" s="936"/>
      <c r="AH1055" s="983"/>
      <c r="AI1055" s="983"/>
      <c r="AJ1055" s="968"/>
      <c r="AL1055" s="937"/>
    </row>
    <row r="1056" spans="2:38" s="930" customFormat="1" ht="20.25" customHeight="1" x14ac:dyDescent="0.2">
      <c r="B1056" s="936"/>
      <c r="C1056" s="936"/>
      <c r="D1056" s="936"/>
      <c r="E1056" s="936"/>
      <c r="AH1056" s="983"/>
      <c r="AI1056" s="983"/>
      <c r="AJ1056" s="968"/>
      <c r="AL1056" s="937"/>
    </row>
    <row r="1057" spans="2:38" s="930" customFormat="1" ht="20.25" customHeight="1" x14ac:dyDescent="0.2">
      <c r="B1057" s="936"/>
      <c r="C1057" s="936"/>
      <c r="D1057" s="936"/>
      <c r="E1057" s="936"/>
      <c r="AH1057" s="983"/>
      <c r="AI1057" s="983"/>
      <c r="AJ1057" s="968"/>
      <c r="AL1057" s="937"/>
    </row>
    <row r="1058" spans="2:38" s="930" customFormat="1" ht="20.25" customHeight="1" x14ac:dyDescent="0.2">
      <c r="B1058" s="936"/>
      <c r="C1058" s="936"/>
      <c r="D1058" s="936"/>
      <c r="E1058" s="936"/>
      <c r="AH1058" s="983"/>
      <c r="AI1058" s="983"/>
      <c r="AJ1058" s="968"/>
      <c r="AL1058" s="937"/>
    </row>
    <row r="1059" spans="2:38" s="930" customFormat="1" ht="20.25" customHeight="1" x14ac:dyDescent="0.2">
      <c r="B1059" s="936"/>
      <c r="C1059" s="936"/>
      <c r="D1059" s="936"/>
      <c r="E1059" s="936"/>
      <c r="AH1059" s="983"/>
      <c r="AI1059" s="983"/>
      <c r="AJ1059" s="968"/>
      <c r="AL1059" s="937"/>
    </row>
    <row r="1060" spans="2:38" s="930" customFormat="1" ht="20.25" customHeight="1" x14ac:dyDescent="0.2">
      <c r="B1060" s="936"/>
      <c r="C1060" s="936"/>
      <c r="D1060" s="936"/>
      <c r="E1060" s="936"/>
      <c r="AH1060" s="983"/>
      <c r="AI1060" s="983"/>
      <c r="AJ1060" s="968"/>
      <c r="AL1060" s="937"/>
    </row>
    <row r="1061" spans="2:38" s="930" customFormat="1" ht="20.25" customHeight="1" x14ac:dyDescent="0.2">
      <c r="B1061" s="936"/>
      <c r="C1061" s="936"/>
      <c r="D1061" s="936"/>
      <c r="E1061" s="936"/>
      <c r="AH1061" s="983"/>
      <c r="AI1061" s="983"/>
      <c r="AJ1061" s="968"/>
      <c r="AL1061" s="937"/>
    </row>
    <row r="1062" spans="2:38" s="930" customFormat="1" ht="20.25" customHeight="1" x14ac:dyDescent="0.2">
      <c r="B1062" s="936"/>
      <c r="C1062" s="936"/>
      <c r="D1062" s="936"/>
      <c r="E1062" s="936"/>
      <c r="AH1062" s="983"/>
      <c r="AI1062" s="983"/>
      <c r="AJ1062" s="968"/>
      <c r="AL1062" s="937"/>
    </row>
    <row r="1063" spans="2:38" s="930" customFormat="1" ht="20.25" customHeight="1" x14ac:dyDescent="0.2">
      <c r="B1063" s="936"/>
      <c r="C1063" s="936"/>
      <c r="D1063" s="936"/>
      <c r="E1063" s="936"/>
      <c r="AH1063" s="983"/>
      <c r="AI1063" s="983"/>
      <c r="AJ1063" s="968"/>
      <c r="AL1063" s="937"/>
    </row>
    <row r="1064" spans="2:38" s="930" customFormat="1" ht="20.25" customHeight="1" x14ac:dyDescent="0.2">
      <c r="B1064" s="936"/>
      <c r="C1064" s="936"/>
      <c r="D1064" s="936"/>
      <c r="E1064" s="936"/>
      <c r="AH1064" s="983"/>
      <c r="AI1064" s="983"/>
      <c r="AJ1064" s="968"/>
      <c r="AL1064" s="937"/>
    </row>
    <row r="1065" spans="2:38" s="930" customFormat="1" ht="20.25" customHeight="1" x14ac:dyDescent="0.2">
      <c r="B1065" s="936"/>
      <c r="C1065" s="936"/>
      <c r="D1065" s="936"/>
      <c r="E1065" s="936"/>
      <c r="AH1065" s="983"/>
      <c r="AI1065" s="983"/>
      <c r="AJ1065" s="968"/>
      <c r="AL1065" s="937"/>
    </row>
    <row r="1066" spans="2:38" s="930" customFormat="1" ht="20.25" customHeight="1" x14ac:dyDescent="0.2">
      <c r="B1066" s="936"/>
      <c r="C1066" s="936"/>
      <c r="D1066" s="936"/>
      <c r="E1066" s="936"/>
      <c r="AH1066" s="983"/>
      <c r="AI1066" s="983"/>
      <c r="AJ1066" s="968"/>
      <c r="AL1066" s="937"/>
    </row>
    <row r="1067" spans="2:38" s="930" customFormat="1" ht="20.25" customHeight="1" x14ac:dyDescent="0.2">
      <c r="B1067" s="936"/>
      <c r="C1067" s="936"/>
      <c r="D1067" s="936"/>
      <c r="E1067" s="936"/>
      <c r="AH1067" s="983"/>
      <c r="AI1067" s="983"/>
      <c r="AJ1067" s="968"/>
      <c r="AL1067" s="937"/>
    </row>
    <row r="1068" spans="2:38" s="930" customFormat="1" ht="20.25" customHeight="1" x14ac:dyDescent="0.2">
      <c r="B1068" s="936"/>
      <c r="C1068" s="936"/>
      <c r="D1068" s="936"/>
      <c r="E1068" s="936"/>
      <c r="AH1068" s="983"/>
      <c r="AI1068" s="983"/>
      <c r="AJ1068" s="968"/>
      <c r="AL1068" s="937"/>
    </row>
    <row r="1069" spans="2:38" s="930" customFormat="1" ht="20.25" customHeight="1" x14ac:dyDescent="0.2">
      <c r="B1069" s="936"/>
      <c r="C1069" s="936"/>
      <c r="D1069" s="936"/>
      <c r="E1069" s="936"/>
      <c r="AH1069" s="983"/>
      <c r="AI1069" s="983"/>
      <c r="AJ1069" s="968"/>
      <c r="AL1069" s="937"/>
    </row>
    <row r="1070" spans="2:38" s="930" customFormat="1" ht="20.25" customHeight="1" x14ac:dyDescent="0.2">
      <c r="B1070" s="936"/>
      <c r="C1070" s="936"/>
      <c r="D1070" s="936"/>
      <c r="E1070" s="936"/>
      <c r="AH1070" s="983"/>
      <c r="AI1070" s="983"/>
      <c r="AJ1070" s="968"/>
      <c r="AL1070" s="937"/>
    </row>
    <row r="1071" spans="2:38" s="930" customFormat="1" ht="20.25" customHeight="1" x14ac:dyDescent="0.2">
      <c r="B1071" s="936"/>
      <c r="C1071" s="936"/>
      <c r="D1071" s="936"/>
      <c r="E1071" s="936"/>
      <c r="AH1071" s="983"/>
      <c r="AI1071" s="983"/>
      <c r="AJ1071" s="968"/>
      <c r="AL1071" s="937"/>
    </row>
    <row r="1072" spans="2:38" s="930" customFormat="1" ht="20.25" customHeight="1" x14ac:dyDescent="0.2">
      <c r="B1072" s="936"/>
      <c r="C1072" s="936"/>
      <c r="D1072" s="936"/>
      <c r="E1072" s="936"/>
      <c r="AH1072" s="983"/>
      <c r="AI1072" s="983"/>
      <c r="AJ1072" s="968"/>
      <c r="AL1072" s="937"/>
    </row>
    <row r="1073" spans="2:38" s="930" customFormat="1" ht="20.25" customHeight="1" x14ac:dyDescent="0.2">
      <c r="B1073" s="936"/>
      <c r="C1073" s="936"/>
      <c r="D1073" s="936"/>
      <c r="E1073" s="936"/>
      <c r="AH1073" s="983"/>
      <c r="AI1073" s="983"/>
      <c r="AJ1073" s="968"/>
      <c r="AL1073" s="937"/>
    </row>
    <row r="1074" spans="2:38" s="930" customFormat="1" ht="20.25" customHeight="1" x14ac:dyDescent="0.2">
      <c r="B1074" s="936"/>
      <c r="C1074" s="936"/>
      <c r="D1074" s="936"/>
      <c r="E1074" s="936"/>
      <c r="AH1074" s="983"/>
      <c r="AI1074" s="983"/>
      <c r="AJ1074" s="968"/>
      <c r="AL1074" s="937"/>
    </row>
    <row r="1075" spans="2:38" s="930" customFormat="1" ht="20.25" customHeight="1" x14ac:dyDescent="0.2">
      <c r="B1075" s="936"/>
      <c r="C1075" s="936"/>
      <c r="D1075" s="936"/>
      <c r="E1075" s="936"/>
      <c r="AH1075" s="983"/>
      <c r="AI1075" s="983"/>
      <c r="AJ1075" s="968"/>
      <c r="AL1075" s="937"/>
    </row>
    <row r="1076" spans="2:38" s="930" customFormat="1" ht="20.25" customHeight="1" x14ac:dyDescent="0.2">
      <c r="B1076" s="936"/>
      <c r="C1076" s="936"/>
      <c r="D1076" s="936"/>
      <c r="E1076" s="936"/>
      <c r="AH1076" s="983"/>
      <c r="AI1076" s="983"/>
      <c r="AJ1076" s="968"/>
      <c r="AL1076" s="937"/>
    </row>
    <row r="1077" spans="2:38" s="930" customFormat="1" ht="20.25" customHeight="1" x14ac:dyDescent="0.2">
      <c r="B1077" s="936"/>
      <c r="C1077" s="936"/>
      <c r="D1077" s="936"/>
      <c r="E1077" s="936"/>
      <c r="AH1077" s="983"/>
      <c r="AI1077" s="983"/>
      <c r="AJ1077" s="968"/>
      <c r="AL1077" s="937"/>
    </row>
    <row r="1078" spans="2:38" s="930" customFormat="1" ht="20.25" customHeight="1" x14ac:dyDescent="0.2">
      <c r="B1078" s="936"/>
      <c r="C1078" s="936"/>
      <c r="D1078" s="936"/>
      <c r="E1078" s="936"/>
      <c r="AH1078" s="983"/>
      <c r="AI1078" s="983"/>
      <c r="AJ1078" s="968"/>
      <c r="AL1078" s="937"/>
    </row>
    <row r="1079" spans="2:38" s="930" customFormat="1" ht="20.25" customHeight="1" x14ac:dyDescent="0.2">
      <c r="B1079" s="936"/>
      <c r="C1079" s="936"/>
      <c r="D1079" s="936"/>
      <c r="E1079" s="936"/>
      <c r="AH1079" s="983"/>
      <c r="AI1079" s="983"/>
      <c r="AJ1079" s="968"/>
      <c r="AL1079" s="937"/>
    </row>
    <row r="1080" spans="2:38" s="930" customFormat="1" ht="20.25" customHeight="1" x14ac:dyDescent="0.2">
      <c r="B1080" s="936"/>
      <c r="C1080" s="936"/>
      <c r="D1080" s="936"/>
      <c r="E1080" s="936"/>
      <c r="AH1080" s="983"/>
      <c r="AI1080" s="983"/>
      <c r="AJ1080" s="968"/>
      <c r="AL1080" s="937"/>
    </row>
    <row r="1081" spans="2:38" s="930" customFormat="1" ht="20.25" customHeight="1" x14ac:dyDescent="0.2">
      <c r="B1081" s="936"/>
      <c r="C1081" s="936"/>
      <c r="D1081" s="936"/>
      <c r="E1081" s="936"/>
      <c r="AH1081" s="983"/>
      <c r="AI1081" s="983"/>
      <c r="AJ1081" s="968"/>
      <c r="AL1081" s="937"/>
    </row>
    <row r="1082" spans="2:38" s="930" customFormat="1" ht="20.25" customHeight="1" x14ac:dyDescent="0.2">
      <c r="B1082" s="936"/>
      <c r="C1082" s="936"/>
      <c r="D1082" s="936"/>
      <c r="E1082" s="936"/>
      <c r="AH1082" s="983"/>
      <c r="AI1082" s="983"/>
      <c r="AJ1082" s="968"/>
      <c r="AL1082" s="937"/>
    </row>
    <row r="1083" spans="2:38" s="930" customFormat="1" ht="20.25" customHeight="1" x14ac:dyDescent="0.2">
      <c r="B1083" s="936"/>
      <c r="C1083" s="936"/>
      <c r="D1083" s="936"/>
      <c r="E1083" s="936"/>
      <c r="AH1083" s="983"/>
      <c r="AI1083" s="983"/>
      <c r="AJ1083" s="968"/>
      <c r="AL1083" s="937"/>
    </row>
    <row r="1084" spans="2:38" s="930" customFormat="1" ht="20.25" customHeight="1" x14ac:dyDescent="0.2">
      <c r="B1084" s="936"/>
      <c r="C1084" s="936"/>
      <c r="D1084" s="936"/>
      <c r="E1084" s="936"/>
      <c r="AH1084" s="983"/>
      <c r="AI1084" s="983"/>
      <c r="AJ1084" s="968"/>
      <c r="AL1084" s="937"/>
    </row>
    <row r="1085" spans="2:38" s="930" customFormat="1" ht="20.25" customHeight="1" x14ac:dyDescent="0.2">
      <c r="B1085" s="936"/>
      <c r="C1085" s="936"/>
      <c r="D1085" s="936"/>
      <c r="E1085" s="936"/>
      <c r="AH1085" s="983"/>
      <c r="AI1085" s="983"/>
      <c r="AJ1085" s="968"/>
      <c r="AL1085" s="937"/>
    </row>
    <row r="1086" spans="2:38" s="930" customFormat="1" ht="20.25" customHeight="1" x14ac:dyDescent="0.2">
      <c r="B1086" s="936"/>
      <c r="C1086" s="936"/>
      <c r="D1086" s="936"/>
      <c r="E1086" s="936"/>
      <c r="AH1086" s="983"/>
      <c r="AI1086" s="983"/>
      <c r="AJ1086" s="968"/>
      <c r="AL1086" s="937"/>
    </row>
    <row r="1087" spans="2:38" s="930" customFormat="1" ht="20.25" customHeight="1" x14ac:dyDescent="0.2">
      <c r="B1087" s="936"/>
      <c r="C1087" s="936"/>
      <c r="D1087" s="936"/>
      <c r="E1087" s="936"/>
      <c r="AH1087" s="983"/>
      <c r="AI1087" s="983"/>
      <c r="AJ1087" s="968"/>
      <c r="AL1087" s="937"/>
    </row>
    <row r="1088" spans="2:38" s="930" customFormat="1" ht="20.25" customHeight="1" x14ac:dyDescent="0.2">
      <c r="B1088" s="936"/>
      <c r="C1088" s="936"/>
      <c r="D1088" s="936"/>
      <c r="E1088" s="936"/>
      <c r="AH1088" s="983"/>
      <c r="AI1088" s="983"/>
      <c r="AJ1088" s="968"/>
      <c r="AL1088" s="937"/>
    </row>
    <row r="1089" spans="2:38" s="930" customFormat="1" ht="20.25" customHeight="1" x14ac:dyDescent="0.2">
      <c r="B1089" s="936"/>
      <c r="C1089" s="936"/>
      <c r="D1089" s="936"/>
      <c r="E1089" s="936"/>
      <c r="AH1089" s="983"/>
      <c r="AI1089" s="983"/>
      <c r="AJ1089" s="968"/>
      <c r="AL1089" s="937"/>
    </row>
    <row r="1090" spans="2:38" s="930" customFormat="1" ht="20.25" customHeight="1" x14ac:dyDescent="0.2">
      <c r="B1090" s="936"/>
      <c r="C1090" s="936"/>
      <c r="D1090" s="936"/>
      <c r="E1090" s="936"/>
      <c r="AH1090" s="983"/>
      <c r="AI1090" s="983"/>
      <c r="AJ1090" s="968"/>
      <c r="AL1090" s="937"/>
    </row>
    <row r="1091" spans="2:38" s="930" customFormat="1" ht="20.25" customHeight="1" x14ac:dyDescent="0.2">
      <c r="B1091" s="936"/>
      <c r="C1091" s="936"/>
      <c r="D1091" s="936"/>
      <c r="E1091" s="936"/>
      <c r="AH1091" s="983"/>
      <c r="AI1091" s="983"/>
      <c r="AJ1091" s="968"/>
      <c r="AL1091" s="937"/>
    </row>
    <row r="1092" spans="2:38" s="930" customFormat="1" ht="20.25" customHeight="1" x14ac:dyDescent="0.2">
      <c r="B1092" s="936"/>
      <c r="C1092" s="936"/>
      <c r="D1092" s="936"/>
      <c r="E1092" s="936"/>
      <c r="AH1092" s="983"/>
      <c r="AI1092" s="983"/>
      <c r="AJ1092" s="968"/>
      <c r="AL1092" s="937"/>
    </row>
    <row r="1093" spans="2:38" s="930" customFormat="1" ht="20.25" customHeight="1" x14ac:dyDescent="0.2">
      <c r="B1093" s="936"/>
      <c r="C1093" s="936"/>
      <c r="D1093" s="936"/>
      <c r="E1093" s="936"/>
      <c r="AH1093" s="983"/>
      <c r="AI1093" s="983"/>
      <c r="AJ1093" s="968"/>
      <c r="AL1093" s="937"/>
    </row>
    <row r="1094" spans="2:38" s="930" customFormat="1" ht="20.25" customHeight="1" x14ac:dyDescent="0.2">
      <c r="B1094" s="936"/>
      <c r="C1094" s="936"/>
      <c r="D1094" s="936"/>
      <c r="E1094" s="936"/>
      <c r="AH1094" s="983"/>
      <c r="AI1094" s="983"/>
      <c r="AJ1094" s="968"/>
      <c r="AL1094" s="937"/>
    </row>
    <row r="1095" spans="2:38" s="930" customFormat="1" ht="20.25" customHeight="1" x14ac:dyDescent="0.2">
      <c r="B1095" s="936"/>
      <c r="C1095" s="936"/>
      <c r="D1095" s="936"/>
      <c r="E1095" s="936"/>
      <c r="AH1095" s="983"/>
      <c r="AI1095" s="983"/>
      <c r="AJ1095" s="968"/>
      <c r="AL1095" s="937"/>
    </row>
    <row r="1096" spans="2:38" s="930" customFormat="1" ht="20.25" customHeight="1" x14ac:dyDescent="0.2">
      <c r="B1096" s="936"/>
      <c r="C1096" s="936"/>
      <c r="D1096" s="936"/>
      <c r="E1096" s="936"/>
      <c r="AH1096" s="983"/>
      <c r="AI1096" s="983"/>
      <c r="AJ1096" s="968"/>
      <c r="AL1096" s="937"/>
    </row>
    <row r="1097" spans="2:38" s="930" customFormat="1" ht="20.25" customHeight="1" x14ac:dyDescent="0.2">
      <c r="B1097" s="936"/>
      <c r="C1097" s="936"/>
      <c r="D1097" s="936"/>
      <c r="E1097" s="936"/>
      <c r="AH1097" s="983"/>
      <c r="AI1097" s="983"/>
      <c r="AJ1097" s="968"/>
      <c r="AL1097" s="937"/>
    </row>
    <row r="1098" spans="2:38" s="930" customFormat="1" ht="20.25" customHeight="1" x14ac:dyDescent="0.2">
      <c r="B1098" s="936"/>
      <c r="C1098" s="936"/>
      <c r="D1098" s="936"/>
      <c r="E1098" s="936"/>
      <c r="AH1098" s="983"/>
      <c r="AI1098" s="983"/>
      <c r="AJ1098" s="968"/>
      <c r="AL1098" s="937"/>
    </row>
    <row r="1099" spans="2:38" s="930" customFormat="1" ht="20.25" customHeight="1" x14ac:dyDescent="0.2">
      <c r="B1099" s="936"/>
      <c r="C1099" s="936"/>
      <c r="D1099" s="936"/>
      <c r="E1099" s="936"/>
      <c r="AH1099" s="983"/>
      <c r="AI1099" s="983"/>
      <c r="AJ1099" s="968"/>
      <c r="AL1099" s="937"/>
    </row>
    <row r="1100" spans="2:38" s="930" customFormat="1" ht="20.25" customHeight="1" x14ac:dyDescent="0.2">
      <c r="B1100" s="936"/>
      <c r="C1100" s="936"/>
      <c r="D1100" s="936"/>
      <c r="E1100" s="936"/>
      <c r="AH1100" s="983"/>
      <c r="AI1100" s="983"/>
      <c r="AJ1100" s="968"/>
      <c r="AL1100" s="937"/>
    </row>
    <row r="1101" spans="2:38" s="930" customFormat="1" ht="20.25" customHeight="1" x14ac:dyDescent="0.2">
      <c r="B1101" s="936"/>
      <c r="C1101" s="936"/>
      <c r="D1101" s="936"/>
      <c r="E1101" s="936"/>
      <c r="AH1101" s="983"/>
      <c r="AI1101" s="983"/>
      <c r="AJ1101" s="968"/>
      <c r="AL1101" s="937"/>
    </row>
    <row r="1102" spans="2:38" s="930" customFormat="1" ht="20.25" customHeight="1" x14ac:dyDescent="0.2">
      <c r="B1102" s="936"/>
      <c r="C1102" s="936"/>
      <c r="D1102" s="936"/>
      <c r="E1102" s="936"/>
      <c r="AH1102" s="983"/>
      <c r="AI1102" s="983"/>
      <c r="AJ1102" s="968"/>
      <c r="AL1102" s="937"/>
    </row>
    <row r="1103" spans="2:38" s="930" customFormat="1" ht="20.25" customHeight="1" x14ac:dyDescent="0.2">
      <c r="B1103" s="936"/>
      <c r="C1103" s="936"/>
      <c r="D1103" s="936"/>
      <c r="E1103" s="936"/>
      <c r="AH1103" s="983"/>
      <c r="AI1103" s="983"/>
      <c r="AJ1103" s="968"/>
      <c r="AL1103" s="937"/>
    </row>
    <row r="1104" spans="2:38" s="930" customFormat="1" ht="20.25" customHeight="1" x14ac:dyDescent="0.2">
      <c r="B1104" s="936"/>
      <c r="C1104" s="936"/>
      <c r="D1104" s="936"/>
      <c r="E1104" s="936"/>
      <c r="AH1104" s="983"/>
      <c r="AI1104" s="983"/>
      <c r="AJ1104" s="968"/>
      <c r="AL1104" s="937"/>
    </row>
    <row r="1105" spans="2:38" s="930" customFormat="1" ht="20.25" customHeight="1" x14ac:dyDescent="0.2">
      <c r="B1105" s="936"/>
      <c r="C1105" s="936"/>
      <c r="D1105" s="936"/>
      <c r="E1105" s="936"/>
      <c r="AH1105" s="983"/>
      <c r="AI1105" s="983"/>
      <c r="AJ1105" s="968"/>
      <c r="AL1105" s="937"/>
    </row>
    <row r="1106" spans="2:38" s="930" customFormat="1" ht="20.25" customHeight="1" x14ac:dyDescent="0.2">
      <c r="B1106" s="936"/>
      <c r="C1106" s="936"/>
      <c r="D1106" s="936"/>
      <c r="E1106" s="936"/>
      <c r="AH1106" s="983"/>
      <c r="AI1106" s="983"/>
      <c r="AJ1106" s="968"/>
      <c r="AL1106" s="937"/>
    </row>
    <row r="1107" spans="2:38" s="930" customFormat="1" ht="20.25" customHeight="1" x14ac:dyDescent="0.2">
      <c r="B1107" s="936"/>
      <c r="C1107" s="936"/>
      <c r="D1107" s="936"/>
      <c r="E1107" s="936"/>
      <c r="AH1107" s="983"/>
      <c r="AI1107" s="983"/>
      <c r="AJ1107" s="968"/>
      <c r="AL1107" s="937"/>
    </row>
    <row r="1108" spans="2:38" s="930" customFormat="1" ht="20.25" customHeight="1" x14ac:dyDescent="0.2">
      <c r="B1108" s="936"/>
      <c r="C1108" s="936"/>
      <c r="D1108" s="936"/>
      <c r="E1108" s="936"/>
      <c r="AH1108" s="983"/>
      <c r="AI1108" s="983"/>
      <c r="AJ1108" s="968"/>
      <c r="AL1108" s="937"/>
    </row>
    <row r="1109" spans="2:38" s="930" customFormat="1" ht="20.25" customHeight="1" x14ac:dyDescent="0.2">
      <c r="B1109" s="936"/>
      <c r="C1109" s="936"/>
      <c r="D1109" s="936"/>
      <c r="E1109" s="936"/>
      <c r="AH1109" s="983"/>
      <c r="AI1109" s="983"/>
      <c r="AJ1109" s="968"/>
      <c r="AL1109" s="937"/>
    </row>
    <row r="1110" spans="2:38" s="930" customFormat="1" ht="20.25" customHeight="1" x14ac:dyDescent="0.2">
      <c r="B1110" s="936"/>
      <c r="C1110" s="936"/>
      <c r="D1110" s="936"/>
      <c r="E1110" s="936"/>
      <c r="AH1110" s="983"/>
      <c r="AI1110" s="983"/>
      <c r="AJ1110" s="968"/>
      <c r="AL1110" s="937"/>
    </row>
    <row r="1111" spans="2:38" s="930" customFormat="1" ht="20.25" customHeight="1" x14ac:dyDescent="0.2">
      <c r="B1111" s="936"/>
      <c r="C1111" s="936"/>
      <c r="D1111" s="936"/>
      <c r="E1111" s="936"/>
      <c r="AH1111" s="983"/>
      <c r="AI1111" s="983"/>
      <c r="AJ1111" s="968"/>
      <c r="AL1111" s="937"/>
    </row>
    <row r="1112" spans="2:38" s="930" customFormat="1" ht="20.25" customHeight="1" x14ac:dyDescent="0.2">
      <c r="B1112" s="936"/>
      <c r="C1112" s="936"/>
      <c r="D1112" s="936"/>
      <c r="E1112" s="936"/>
      <c r="AH1112" s="983"/>
      <c r="AI1112" s="983"/>
      <c r="AJ1112" s="968"/>
      <c r="AL1112" s="937"/>
    </row>
    <row r="1113" spans="2:38" s="930" customFormat="1" ht="20.25" customHeight="1" x14ac:dyDescent="0.2">
      <c r="B1113" s="936"/>
      <c r="C1113" s="936"/>
      <c r="D1113" s="936"/>
      <c r="E1113" s="936"/>
      <c r="AH1113" s="983"/>
      <c r="AI1113" s="983"/>
      <c r="AJ1113" s="968"/>
      <c r="AL1113" s="937"/>
    </row>
    <row r="1114" spans="2:38" s="930" customFormat="1" ht="20.25" customHeight="1" x14ac:dyDescent="0.2">
      <c r="B1114" s="936"/>
      <c r="C1114" s="936"/>
      <c r="D1114" s="936"/>
      <c r="E1114" s="936"/>
      <c r="AH1114" s="983"/>
      <c r="AI1114" s="983"/>
      <c r="AJ1114" s="968"/>
      <c r="AL1114" s="937"/>
    </row>
    <row r="1115" spans="2:38" s="930" customFormat="1" ht="20.25" customHeight="1" x14ac:dyDescent="0.2">
      <c r="B1115" s="936"/>
      <c r="C1115" s="936"/>
      <c r="D1115" s="936"/>
      <c r="E1115" s="936"/>
      <c r="AH1115" s="983"/>
      <c r="AI1115" s="983"/>
      <c r="AJ1115" s="968"/>
      <c r="AL1115" s="937"/>
    </row>
    <row r="1116" spans="2:38" s="930" customFormat="1" ht="20.25" customHeight="1" x14ac:dyDescent="0.2">
      <c r="B1116" s="936"/>
      <c r="C1116" s="936"/>
      <c r="D1116" s="936"/>
      <c r="E1116" s="936"/>
      <c r="AH1116" s="983"/>
      <c r="AI1116" s="983"/>
      <c r="AJ1116" s="968"/>
      <c r="AL1116" s="937"/>
    </row>
    <row r="1117" spans="2:38" s="930" customFormat="1" ht="20.25" customHeight="1" x14ac:dyDescent="0.2">
      <c r="B1117" s="936"/>
      <c r="C1117" s="936"/>
      <c r="D1117" s="936"/>
      <c r="E1117" s="936"/>
      <c r="AH1117" s="983"/>
      <c r="AI1117" s="983"/>
      <c r="AJ1117" s="968"/>
      <c r="AL1117" s="937"/>
    </row>
    <row r="1118" spans="2:38" s="930" customFormat="1" ht="20.25" customHeight="1" x14ac:dyDescent="0.2">
      <c r="B1118" s="936"/>
      <c r="C1118" s="936"/>
      <c r="D1118" s="936"/>
      <c r="E1118" s="936"/>
      <c r="AH1118" s="983"/>
      <c r="AI1118" s="983"/>
      <c r="AJ1118" s="968"/>
      <c r="AL1118" s="937"/>
    </row>
    <row r="1119" spans="2:38" s="930" customFormat="1" ht="20.25" customHeight="1" x14ac:dyDescent="0.2">
      <c r="B1119" s="936"/>
      <c r="C1119" s="936"/>
      <c r="D1119" s="936"/>
      <c r="E1119" s="936"/>
      <c r="AH1119" s="983"/>
      <c r="AI1119" s="983"/>
      <c r="AJ1119" s="968"/>
      <c r="AL1119" s="937"/>
    </row>
    <row r="1120" spans="2:38" s="930" customFormat="1" ht="20.25" customHeight="1" x14ac:dyDescent="0.2">
      <c r="B1120" s="936"/>
      <c r="C1120" s="936"/>
      <c r="D1120" s="936"/>
      <c r="E1120" s="936"/>
      <c r="AH1120" s="983"/>
      <c r="AI1120" s="983"/>
      <c r="AJ1120" s="968"/>
      <c r="AL1120" s="937"/>
    </row>
    <row r="1121" spans="2:38" s="930" customFormat="1" ht="20.25" customHeight="1" x14ac:dyDescent="0.2">
      <c r="B1121" s="936"/>
      <c r="C1121" s="936"/>
      <c r="D1121" s="936"/>
      <c r="E1121" s="936"/>
      <c r="AH1121" s="983"/>
      <c r="AI1121" s="983"/>
      <c r="AJ1121" s="968"/>
      <c r="AL1121" s="937"/>
    </row>
    <row r="1122" spans="2:38" s="930" customFormat="1" ht="20.25" customHeight="1" x14ac:dyDescent="0.2">
      <c r="B1122" s="936"/>
      <c r="C1122" s="936"/>
      <c r="D1122" s="936"/>
      <c r="E1122" s="936"/>
      <c r="AH1122" s="983"/>
      <c r="AI1122" s="983"/>
      <c r="AJ1122" s="968"/>
      <c r="AL1122" s="937"/>
    </row>
    <row r="1123" spans="2:38" s="930" customFormat="1" ht="20.25" customHeight="1" x14ac:dyDescent="0.2">
      <c r="B1123" s="936"/>
      <c r="C1123" s="936"/>
      <c r="D1123" s="936"/>
      <c r="E1123" s="936"/>
      <c r="AH1123" s="983"/>
      <c r="AI1123" s="983"/>
      <c r="AJ1123" s="968"/>
      <c r="AL1123" s="937"/>
    </row>
    <row r="1124" spans="2:38" s="930" customFormat="1" ht="20.25" customHeight="1" x14ac:dyDescent="0.2">
      <c r="B1124" s="936"/>
      <c r="C1124" s="936"/>
      <c r="D1124" s="936"/>
      <c r="E1124" s="936"/>
      <c r="AH1124" s="983"/>
      <c r="AI1124" s="983"/>
      <c r="AJ1124" s="968"/>
      <c r="AL1124" s="937"/>
    </row>
    <row r="1125" spans="2:38" s="930" customFormat="1" ht="20.25" customHeight="1" x14ac:dyDescent="0.2">
      <c r="B1125" s="936"/>
      <c r="C1125" s="936"/>
      <c r="D1125" s="936"/>
      <c r="E1125" s="936"/>
      <c r="AH1125" s="983"/>
      <c r="AI1125" s="983"/>
      <c r="AJ1125" s="968"/>
      <c r="AL1125" s="937"/>
    </row>
    <row r="1126" spans="2:38" s="930" customFormat="1" ht="20.25" customHeight="1" x14ac:dyDescent="0.2">
      <c r="B1126" s="936"/>
      <c r="C1126" s="936"/>
      <c r="D1126" s="936"/>
      <c r="E1126" s="936"/>
      <c r="AH1126" s="983"/>
      <c r="AI1126" s="983"/>
      <c r="AJ1126" s="968"/>
      <c r="AL1126" s="937"/>
    </row>
    <row r="1127" spans="2:38" s="930" customFormat="1" ht="20.25" customHeight="1" x14ac:dyDescent="0.2">
      <c r="B1127" s="936"/>
      <c r="C1127" s="936"/>
      <c r="D1127" s="936"/>
      <c r="E1127" s="936"/>
      <c r="AH1127" s="983"/>
      <c r="AI1127" s="983"/>
      <c r="AJ1127" s="968"/>
      <c r="AL1127" s="937"/>
    </row>
    <row r="1128" spans="2:38" s="930" customFormat="1" ht="20.25" customHeight="1" x14ac:dyDescent="0.2">
      <c r="B1128" s="936"/>
      <c r="C1128" s="936"/>
      <c r="D1128" s="936"/>
      <c r="E1128" s="936"/>
      <c r="AH1128" s="983"/>
      <c r="AI1128" s="983"/>
      <c r="AJ1128" s="968"/>
      <c r="AL1128" s="937"/>
    </row>
    <row r="1129" spans="2:38" s="930" customFormat="1" ht="20.25" customHeight="1" x14ac:dyDescent="0.2">
      <c r="B1129" s="936"/>
      <c r="C1129" s="936"/>
      <c r="D1129" s="936"/>
      <c r="E1129" s="936"/>
      <c r="AH1129" s="983"/>
      <c r="AI1129" s="983"/>
      <c r="AJ1129" s="968"/>
      <c r="AL1129" s="937"/>
    </row>
    <row r="1130" spans="2:38" s="930" customFormat="1" ht="20.25" customHeight="1" x14ac:dyDescent="0.2">
      <c r="B1130" s="936"/>
      <c r="C1130" s="936"/>
      <c r="D1130" s="936"/>
      <c r="E1130" s="936"/>
      <c r="AH1130" s="983"/>
      <c r="AI1130" s="983"/>
      <c r="AJ1130" s="968"/>
      <c r="AL1130" s="937"/>
    </row>
    <row r="1131" spans="2:38" s="930" customFormat="1" ht="20.25" customHeight="1" x14ac:dyDescent="0.2">
      <c r="B1131" s="936"/>
      <c r="C1131" s="936"/>
      <c r="D1131" s="936"/>
      <c r="E1131" s="936"/>
      <c r="AH1131" s="983"/>
      <c r="AI1131" s="983"/>
      <c r="AJ1131" s="968"/>
      <c r="AL1131" s="937"/>
    </row>
    <row r="1132" spans="2:38" s="930" customFormat="1" ht="20.25" customHeight="1" x14ac:dyDescent="0.2">
      <c r="B1132" s="936"/>
      <c r="C1132" s="936"/>
      <c r="D1132" s="936"/>
      <c r="E1132" s="936"/>
      <c r="AH1132" s="983"/>
      <c r="AI1132" s="983"/>
      <c r="AJ1132" s="968"/>
      <c r="AL1132" s="937"/>
    </row>
    <row r="1133" spans="2:38" s="930" customFormat="1" ht="20.25" customHeight="1" x14ac:dyDescent="0.2">
      <c r="B1133" s="936"/>
      <c r="C1133" s="936"/>
      <c r="D1133" s="936"/>
      <c r="E1133" s="936"/>
      <c r="AH1133" s="983"/>
      <c r="AI1133" s="983"/>
      <c r="AJ1133" s="968"/>
      <c r="AL1133" s="937"/>
    </row>
    <row r="1134" spans="2:38" s="930" customFormat="1" ht="20.25" customHeight="1" x14ac:dyDescent="0.2">
      <c r="B1134" s="936"/>
      <c r="C1134" s="936"/>
      <c r="D1134" s="936"/>
      <c r="E1134" s="936"/>
      <c r="AH1134" s="983"/>
      <c r="AI1134" s="983"/>
      <c r="AJ1134" s="968"/>
      <c r="AL1134" s="937"/>
    </row>
    <row r="1135" spans="2:38" s="930" customFormat="1" ht="20.25" customHeight="1" x14ac:dyDescent="0.2">
      <c r="B1135" s="936"/>
      <c r="C1135" s="936"/>
      <c r="D1135" s="936"/>
      <c r="E1135" s="936"/>
      <c r="AH1135" s="983"/>
      <c r="AI1135" s="983"/>
      <c r="AJ1135" s="968"/>
      <c r="AL1135" s="937"/>
    </row>
    <row r="1136" spans="2:38" s="930" customFormat="1" ht="20.25" customHeight="1" x14ac:dyDescent="0.2">
      <c r="B1136" s="936"/>
      <c r="C1136" s="936"/>
      <c r="D1136" s="936"/>
      <c r="E1136" s="936"/>
      <c r="AH1136" s="983"/>
      <c r="AI1136" s="983"/>
      <c r="AJ1136" s="968"/>
      <c r="AL1136" s="937"/>
    </row>
    <row r="1137" spans="2:38" s="930" customFormat="1" ht="20.25" customHeight="1" x14ac:dyDescent="0.2">
      <c r="B1137" s="936"/>
      <c r="C1137" s="936"/>
      <c r="D1137" s="936"/>
      <c r="E1137" s="936"/>
      <c r="AH1137" s="983"/>
      <c r="AI1137" s="983"/>
      <c r="AJ1137" s="968"/>
      <c r="AL1137" s="937"/>
    </row>
    <row r="1138" spans="2:38" s="930" customFormat="1" ht="20.25" customHeight="1" x14ac:dyDescent="0.2">
      <c r="B1138" s="936"/>
      <c r="C1138" s="936"/>
      <c r="D1138" s="936"/>
      <c r="E1138" s="936"/>
      <c r="AH1138" s="983"/>
      <c r="AI1138" s="983"/>
      <c r="AJ1138" s="968"/>
      <c r="AL1138" s="937"/>
    </row>
    <row r="1139" spans="2:38" s="930" customFormat="1" ht="20.25" customHeight="1" x14ac:dyDescent="0.2">
      <c r="B1139" s="936"/>
      <c r="C1139" s="936"/>
      <c r="D1139" s="936"/>
      <c r="E1139" s="936"/>
      <c r="AH1139" s="983"/>
      <c r="AI1139" s="983"/>
      <c r="AJ1139" s="968"/>
      <c r="AL1139" s="937"/>
    </row>
    <row r="1140" spans="2:38" s="930" customFormat="1" ht="20.25" customHeight="1" x14ac:dyDescent="0.2">
      <c r="B1140" s="936"/>
      <c r="C1140" s="936"/>
      <c r="D1140" s="936"/>
      <c r="E1140" s="936"/>
      <c r="AH1140" s="983"/>
      <c r="AI1140" s="983"/>
      <c r="AJ1140" s="968"/>
      <c r="AL1140" s="937"/>
    </row>
    <row r="1141" spans="2:38" s="930" customFormat="1" ht="20.25" customHeight="1" x14ac:dyDescent="0.2">
      <c r="B1141" s="936"/>
      <c r="C1141" s="936"/>
      <c r="D1141" s="936"/>
      <c r="E1141" s="936"/>
      <c r="AH1141" s="983"/>
      <c r="AI1141" s="983"/>
      <c r="AJ1141" s="968"/>
      <c r="AL1141" s="937"/>
    </row>
    <row r="1142" spans="2:38" s="930" customFormat="1" ht="20.25" customHeight="1" x14ac:dyDescent="0.2">
      <c r="B1142" s="936"/>
      <c r="C1142" s="936"/>
      <c r="D1142" s="936"/>
      <c r="E1142" s="936"/>
      <c r="AH1142" s="983"/>
      <c r="AI1142" s="983"/>
      <c r="AJ1142" s="968"/>
      <c r="AL1142" s="937"/>
    </row>
    <row r="1143" spans="2:38" s="930" customFormat="1" ht="20.25" customHeight="1" x14ac:dyDescent="0.2">
      <c r="B1143" s="936"/>
      <c r="C1143" s="936"/>
      <c r="D1143" s="936"/>
      <c r="E1143" s="936"/>
      <c r="AH1143" s="983"/>
      <c r="AI1143" s="983"/>
      <c r="AJ1143" s="968"/>
      <c r="AL1143" s="937"/>
    </row>
    <row r="1144" spans="2:38" s="930" customFormat="1" ht="20.25" customHeight="1" x14ac:dyDescent="0.2">
      <c r="B1144" s="936"/>
      <c r="C1144" s="936"/>
      <c r="D1144" s="936"/>
      <c r="E1144" s="936"/>
      <c r="AH1144" s="983"/>
      <c r="AI1144" s="983"/>
      <c r="AJ1144" s="968"/>
      <c r="AL1144" s="937"/>
    </row>
    <row r="1145" spans="2:38" s="930" customFormat="1" ht="20.25" customHeight="1" x14ac:dyDescent="0.2">
      <c r="B1145" s="936"/>
      <c r="C1145" s="936"/>
      <c r="D1145" s="936"/>
      <c r="E1145" s="936"/>
      <c r="AH1145" s="983"/>
      <c r="AI1145" s="983"/>
      <c r="AJ1145" s="968"/>
      <c r="AL1145" s="937"/>
    </row>
    <row r="1146" spans="2:38" s="930" customFormat="1" ht="20.25" customHeight="1" x14ac:dyDescent="0.2">
      <c r="B1146" s="936"/>
      <c r="C1146" s="936"/>
      <c r="D1146" s="936"/>
      <c r="E1146" s="936"/>
      <c r="AH1146" s="983"/>
      <c r="AI1146" s="983"/>
      <c r="AJ1146" s="968"/>
      <c r="AL1146" s="937"/>
    </row>
    <row r="1147" spans="2:38" s="930" customFormat="1" ht="20.25" customHeight="1" x14ac:dyDescent="0.2">
      <c r="B1147" s="936"/>
      <c r="C1147" s="936"/>
      <c r="D1147" s="936"/>
      <c r="E1147" s="936"/>
      <c r="AH1147" s="983"/>
      <c r="AI1147" s="983"/>
      <c r="AJ1147" s="968"/>
      <c r="AL1147" s="937"/>
    </row>
    <row r="1148" spans="2:38" s="930" customFormat="1" ht="20.25" customHeight="1" x14ac:dyDescent="0.2">
      <c r="B1148" s="936"/>
      <c r="C1148" s="936"/>
      <c r="D1148" s="936"/>
      <c r="E1148" s="936"/>
      <c r="AH1148" s="983"/>
      <c r="AI1148" s="983"/>
      <c r="AJ1148" s="968"/>
      <c r="AL1148" s="937"/>
    </row>
    <row r="1149" spans="2:38" s="930" customFormat="1" ht="20.25" customHeight="1" x14ac:dyDescent="0.2">
      <c r="B1149" s="936"/>
      <c r="C1149" s="936"/>
      <c r="D1149" s="936"/>
      <c r="E1149" s="936"/>
      <c r="AH1149" s="983"/>
      <c r="AI1149" s="983"/>
      <c r="AJ1149" s="968"/>
      <c r="AL1149" s="937"/>
    </row>
    <row r="1150" spans="2:38" s="930" customFormat="1" ht="20.25" customHeight="1" x14ac:dyDescent="0.2">
      <c r="B1150" s="936"/>
      <c r="C1150" s="936"/>
      <c r="D1150" s="936"/>
      <c r="E1150" s="936"/>
      <c r="AH1150" s="983"/>
      <c r="AI1150" s="983"/>
      <c r="AJ1150" s="968"/>
      <c r="AL1150" s="937"/>
    </row>
    <row r="1151" spans="2:38" s="930" customFormat="1" ht="20.25" customHeight="1" x14ac:dyDescent="0.2">
      <c r="B1151" s="936"/>
      <c r="C1151" s="936"/>
      <c r="D1151" s="936"/>
      <c r="E1151" s="936"/>
      <c r="AH1151" s="983"/>
      <c r="AI1151" s="983"/>
      <c r="AJ1151" s="968"/>
      <c r="AL1151" s="937"/>
    </row>
    <row r="1152" spans="2:38" s="930" customFormat="1" ht="20.25" customHeight="1" x14ac:dyDescent="0.2">
      <c r="B1152" s="936"/>
      <c r="C1152" s="936"/>
      <c r="D1152" s="936"/>
      <c r="E1152" s="936"/>
      <c r="AH1152" s="983"/>
      <c r="AI1152" s="983"/>
      <c r="AJ1152" s="968"/>
      <c r="AL1152" s="937"/>
    </row>
    <row r="1153" spans="2:38" s="930" customFormat="1" ht="20.25" customHeight="1" x14ac:dyDescent="0.2">
      <c r="B1153" s="936"/>
      <c r="C1153" s="936"/>
      <c r="D1153" s="936"/>
      <c r="E1153" s="936"/>
      <c r="AH1153" s="983"/>
      <c r="AI1153" s="983"/>
      <c r="AJ1153" s="968"/>
      <c r="AL1153" s="937"/>
    </row>
    <row r="1154" spans="2:38" s="930" customFormat="1" ht="20.25" customHeight="1" x14ac:dyDescent="0.2">
      <c r="B1154" s="936"/>
      <c r="C1154" s="936"/>
      <c r="D1154" s="936"/>
      <c r="E1154" s="936"/>
      <c r="AH1154" s="983"/>
      <c r="AI1154" s="983"/>
      <c r="AJ1154" s="968"/>
      <c r="AL1154" s="937"/>
    </row>
    <row r="1155" spans="2:38" s="930" customFormat="1" ht="20.25" customHeight="1" x14ac:dyDescent="0.2">
      <c r="B1155" s="936"/>
      <c r="C1155" s="936"/>
      <c r="D1155" s="936"/>
      <c r="E1155" s="936"/>
      <c r="AH1155" s="983"/>
      <c r="AI1155" s="983"/>
      <c r="AJ1155" s="968"/>
      <c r="AL1155" s="937"/>
    </row>
    <row r="1156" spans="2:38" s="930" customFormat="1" ht="20.25" customHeight="1" x14ac:dyDescent="0.2">
      <c r="B1156" s="936"/>
      <c r="C1156" s="936"/>
      <c r="D1156" s="936"/>
      <c r="E1156" s="936"/>
      <c r="AH1156" s="983"/>
      <c r="AI1156" s="983"/>
      <c r="AJ1156" s="968"/>
      <c r="AL1156" s="937"/>
    </row>
    <row r="1157" spans="2:38" s="930" customFormat="1" ht="20.25" customHeight="1" x14ac:dyDescent="0.2">
      <c r="B1157" s="936"/>
      <c r="C1157" s="936"/>
      <c r="D1157" s="936"/>
      <c r="E1157" s="936"/>
      <c r="AH1157" s="983"/>
      <c r="AI1157" s="983"/>
      <c r="AJ1157" s="968"/>
      <c r="AL1157" s="937"/>
    </row>
    <row r="1158" spans="2:38" s="930" customFormat="1" ht="20.25" customHeight="1" x14ac:dyDescent="0.2">
      <c r="B1158" s="936"/>
      <c r="C1158" s="936"/>
      <c r="D1158" s="936"/>
      <c r="E1158" s="936"/>
      <c r="AH1158" s="983"/>
      <c r="AI1158" s="983"/>
      <c r="AJ1158" s="968"/>
      <c r="AL1158" s="937"/>
    </row>
    <row r="1159" spans="2:38" s="930" customFormat="1" ht="20.25" customHeight="1" x14ac:dyDescent="0.2">
      <c r="B1159" s="936"/>
      <c r="C1159" s="936"/>
      <c r="D1159" s="936"/>
      <c r="E1159" s="936"/>
      <c r="AH1159" s="983"/>
      <c r="AI1159" s="983"/>
      <c r="AJ1159" s="968"/>
      <c r="AL1159" s="937"/>
    </row>
    <row r="1160" spans="2:38" s="930" customFormat="1" ht="20.25" customHeight="1" x14ac:dyDescent="0.2">
      <c r="B1160" s="936"/>
      <c r="C1160" s="936"/>
      <c r="D1160" s="936"/>
      <c r="E1160" s="936"/>
      <c r="AH1160" s="983"/>
      <c r="AI1160" s="983"/>
      <c r="AJ1160" s="968"/>
      <c r="AL1160" s="937"/>
    </row>
    <row r="1161" spans="2:38" s="930" customFormat="1" ht="20.25" customHeight="1" x14ac:dyDescent="0.2">
      <c r="B1161" s="936"/>
      <c r="C1161" s="936"/>
      <c r="D1161" s="936"/>
      <c r="E1161" s="936"/>
      <c r="AH1161" s="983"/>
      <c r="AI1161" s="983"/>
      <c r="AJ1161" s="968"/>
      <c r="AL1161" s="937"/>
    </row>
    <row r="1162" spans="2:38" s="930" customFormat="1" ht="20.25" customHeight="1" x14ac:dyDescent="0.2">
      <c r="B1162" s="936"/>
      <c r="C1162" s="936"/>
      <c r="D1162" s="936"/>
      <c r="E1162" s="936"/>
      <c r="AH1162" s="983"/>
      <c r="AI1162" s="983"/>
      <c r="AJ1162" s="968"/>
      <c r="AL1162" s="937"/>
    </row>
    <row r="1163" spans="2:38" s="930" customFormat="1" ht="20.25" customHeight="1" x14ac:dyDescent="0.2">
      <c r="B1163" s="936"/>
      <c r="C1163" s="936"/>
      <c r="D1163" s="936"/>
      <c r="E1163" s="936"/>
      <c r="AH1163" s="983"/>
      <c r="AI1163" s="983"/>
      <c r="AJ1163" s="968"/>
      <c r="AL1163" s="937"/>
    </row>
    <row r="1164" spans="2:38" s="930" customFormat="1" ht="20.25" customHeight="1" x14ac:dyDescent="0.2">
      <c r="B1164" s="936"/>
      <c r="C1164" s="936"/>
      <c r="D1164" s="936"/>
      <c r="E1164" s="936"/>
      <c r="AH1164" s="983"/>
      <c r="AI1164" s="983"/>
      <c r="AJ1164" s="968"/>
      <c r="AL1164" s="937"/>
    </row>
    <row r="1165" spans="2:38" s="930" customFormat="1" ht="20.25" customHeight="1" x14ac:dyDescent="0.2">
      <c r="B1165" s="936"/>
      <c r="C1165" s="936"/>
      <c r="D1165" s="936"/>
      <c r="E1165" s="936"/>
      <c r="AH1165" s="983"/>
      <c r="AI1165" s="983"/>
      <c r="AJ1165" s="968"/>
      <c r="AL1165" s="937"/>
    </row>
    <row r="1166" spans="2:38" s="930" customFormat="1" ht="20.25" customHeight="1" x14ac:dyDescent="0.2">
      <c r="B1166" s="936"/>
      <c r="C1166" s="936"/>
      <c r="D1166" s="936"/>
      <c r="E1166" s="936"/>
      <c r="AH1166" s="983"/>
      <c r="AI1166" s="983"/>
      <c r="AJ1166" s="968"/>
      <c r="AL1166" s="937"/>
    </row>
    <row r="1167" spans="2:38" s="930" customFormat="1" ht="20.25" customHeight="1" x14ac:dyDescent="0.2">
      <c r="B1167" s="936"/>
      <c r="C1167" s="936"/>
      <c r="D1167" s="936"/>
      <c r="E1167" s="936"/>
      <c r="AH1167" s="983"/>
      <c r="AI1167" s="983"/>
      <c r="AJ1167" s="968"/>
      <c r="AL1167" s="937"/>
    </row>
    <row r="1168" spans="2:38" s="930" customFormat="1" ht="20.25" customHeight="1" x14ac:dyDescent="0.2">
      <c r="B1168" s="936"/>
      <c r="C1168" s="936"/>
      <c r="D1168" s="936"/>
      <c r="E1168" s="936"/>
      <c r="AH1168" s="983"/>
      <c r="AI1168" s="983"/>
      <c r="AJ1168" s="968"/>
      <c r="AL1168" s="937"/>
    </row>
    <row r="1169" spans="2:38" s="930" customFormat="1" ht="20.25" customHeight="1" x14ac:dyDescent="0.2">
      <c r="B1169" s="936"/>
      <c r="C1169" s="936"/>
      <c r="D1169" s="936"/>
      <c r="E1169" s="936"/>
      <c r="AH1169" s="983"/>
      <c r="AI1169" s="983"/>
      <c r="AJ1169" s="968"/>
      <c r="AL1169" s="937"/>
    </row>
    <row r="1170" spans="2:38" s="930" customFormat="1" ht="20.25" customHeight="1" x14ac:dyDescent="0.2">
      <c r="B1170" s="936"/>
      <c r="C1170" s="936"/>
      <c r="D1170" s="936"/>
      <c r="E1170" s="936"/>
      <c r="AH1170" s="983"/>
      <c r="AI1170" s="983"/>
      <c r="AJ1170" s="968"/>
      <c r="AL1170" s="937"/>
    </row>
    <row r="1171" spans="2:38" s="930" customFormat="1" ht="20.25" customHeight="1" x14ac:dyDescent="0.2">
      <c r="B1171" s="936"/>
      <c r="C1171" s="936"/>
      <c r="D1171" s="936"/>
      <c r="E1171" s="936"/>
      <c r="AH1171" s="983"/>
      <c r="AI1171" s="983"/>
      <c r="AJ1171" s="968"/>
      <c r="AL1171" s="937"/>
    </row>
    <row r="1172" spans="2:38" s="930" customFormat="1" ht="20.25" customHeight="1" x14ac:dyDescent="0.2">
      <c r="B1172" s="936"/>
      <c r="C1172" s="936"/>
      <c r="D1172" s="936"/>
      <c r="E1172" s="936"/>
      <c r="AH1172" s="983"/>
      <c r="AI1172" s="983"/>
      <c r="AJ1172" s="968"/>
      <c r="AL1172" s="937"/>
    </row>
    <row r="1173" spans="2:38" s="930" customFormat="1" ht="20.25" customHeight="1" x14ac:dyDescent="0.2">
      <c r="B1173" s="936"/>
      <c r="C1173" s="936"/>
      <c r="D1173" s="936"/>
      <c r="E1173" s="936"/>
      <c r="AH1173" s="983"/>
      <c r="AI1173" s="983"/>
      <c r="AJ1173" s="968"/>
      <c r="AL1173" s="937"/>
    </row>
    <row r="1174" spans="2:38" s="930" customFormat="1" ht="20.25" customHeight="1" x14ac:dyDescent="0.2">
      <c r="B1174" s="936"/>
      <c r="C1174" s="936"/>
      <c r="D1174" s="936"/>
      <c r="E1174" s="936"/>
      <c r="AH1174" s="983"/>
      <c r="AI1174" s="983"/>
      <c r="AJ1174" s="968"/>
      <c r="AL1174" s="937"/>
    </row>
    <row r="1175" spans="2:38" s="930" customFormat="1" ht="20.25" customHeight="1" x14ac:dyDescent="0.2">
      <c r="B1175" s="936"/>
      <c r="C1175" s="936"/>
      <c r="D1175" s="936"/>
      <c r="E1175" s="936"/>
      <c r="AH1175" s="983"/>
      <c r="AI1175" s="983"/>
      <c r="AJ1175" s="968"/>
      <c r="AL1175" s="937"/>
    </row>
    <row r="1176" spans="2:38" s="930" customFormat="1" ht="20.25" customHeight="1" x14ac:dyDescent="0.2">
      <c r="B1176" s="936"/>
      <c r="C1176" s="936"/>
      <c r="D1176" s="936"/>
      <c r="E1176" s="936"/>
      <c r="AH1176" s="983"/>
      <c r="AI1176" s="983"/>
      <c r="AJ1176" s="968"/>
      <c r="AL1176" s="937"/>
    </row>
    <row r="1177" spans="2:38" s="930" customFormat="1" ht="20.25" customHeight="1" x14ac:dyDescent="0.2">
      <c r="B1177" s="936"/>
      <c r="C1177" s="936"/>
      <c r="D1177" s="936"/>
      <c r="E1177" s="936"/>
      <c r="AH1177" s="983"/>
      <c r="AI1177" s="983"/>
      <c r="AJ1177" s="968"/>
      <c r="AL1177" s="937"/>
    </row>
    <row r="1178" spans="2:38" s="930" customFormat="1" ht="20.25" customHeight="1" x14ac:dyDescent="0.2">
      <c r="B1178" s="936"/>
      <c r="C1178" s="936"/>
      <c r="D1178" s="936"/>
      <c r="E1178" s="936"/>
      <c r="AH1178" s="983"/>
      <c r="AI1178" s="983"/>
      <c r="AJ1178" s="968"/>
      <c r="AL1178" s="937"/>
    </row>
    <row r="1179" spans="2:38" s="930" customFormat="1" ht="20.25" customHeight="1" x14ac:dyDescent="0.2">
      <c r="B1179" s="936"/>
      <c r="C1179" s="936"/>
      <c r="D1179" s="936"/>
      <c r="E1179" s="936"/>
      <c r="AH1179" s="983"/>
      <c r="AI1179" s="983"/>
      <c r="AJ1179" s="968"/>
      <c r="AL1179" s="937"/>
    </row>
    <row r="1180" spans="2:38" s="930" customFormat="1" ht="20.25" customHeight="1" x14ac:dyDescent="0.2">
      <c r="B1180" s="936"/>
      <c r="C1180" s="936"/>
      <c r="D1180" s="936"/>
      <c r="E1180" s="936"/>
      <c r="AH1180" s="983"/>
      <c r="AI1180" s="983"/>
      <c r="AJ1180" s="968"/>
      <c r="AL1180" s="937"/>
    </row>
    <row r="1181" spans="2:38" s="930" customFormat="1" ht="20.25" customHeight="1" x14ac:dyDescent="0.2">
      <c r="B1181" s="936"/>
      <c r="C1181" s="936"/>
      <c r="D1181" s="936"/>
      <c r="E1181" s="936"/>
      <c r="AH1181" s="983"/>
      <c r="AI1181" s="983"/>
      <c r="AJ1181" s="968"/>
      <c r="AL1181" s="937"/>
    </row>
    <row r="1182" spans="2:38" s="930" customFormat="1" ht="20.25" customHeight="1" x14ac:dyDescent="0.2">
      <c r="B1182" s="936"/>
      <c r="C1182" s="936"/>
      <c r="D1182" s="936"/>
      <c r="E1182" s="936"/>
      <c r="AH1182" s="983"/>
      <c r="AI1182" s="983"/>
      <c r="AJ1182" s="968"/>
      <c r="AL1182" s="937"/>
    </row>
    <row r="1183" spans="2:38" s="930" customFormat="1" ht="20.25" customHeight="1" x14ac:dyDescent="0.2">
      <c r="B1183" s="936"/>
      <c r="C1183" s="936"/>
      <c r="D1183" s="936"/>
      <c r="E1183" s="936"/>
      <c r="AH1183" s="983"/>
      <c r="AI1183" s="983"/>
      <c r="AJ1183" s="968"/>
      <c r="AL1183" s="937"/>
    </row>
    <row r="1184" spans="2:38" s="930" customFormat="1" ht="20.25" customHeight="1" x14ac:dyDescent="0.2">
      <c r="B1184" s="936"/>
      <c r="C1184" s="936"/>
      <c r="D1184" s="936"/>
      <c r="E1184" s="936"/>
      <c r="AH1184" s="983"/>
      <c r="AI1184" s="983"/>
      <c r="AJ1184" s="968"/>
      <c r="AL1184" s="937"/>
    </row>
    <row r="1185" spans="2:38" s="930" customFormat="1" ht="20.25" customHeight="1" x14ac:dyDescent="0.2">
      <c r="B1185" s="936"/>
      <c r="C1185" s="936"/>
      <c r="D1185" s="936"/>
      <c r="E1185" s="936"/>
      <c r="AH1185" s="983"/>
      <c r="AI1185" s="983"/>
      <c r="AJ1185" s="968"/>
      <c r="AL1185" s="937"/>
    </row>
    <row r="1186" spans="2:38" s="930" customFormat="1" ht="20.25" customHeight="1" x14ac:dyDescent="0.2">
      <c r="B1186" s="936"/>
      <c r="C1186" s="936"/>
      <c r="D1186" s="936"/>
      <c r="E1186" s="936"/>
      <c r="AH1186" s="983"/>
      <c r="AI1186" s="983"/>
      <c r="AJ1186" s="968"/>
      <c r="AL1186" s="937"/>
    </row>
    <row r="1187" spans="2:38" s="930" customFormat="1" ht="20.25" customHeight="1" x14ac:dyDescent="0.2">
      <c r="B1187" s="936"/>
      <c r="C1187" s="936"/>
      <c r="D1187" s="936"/>
      <c r="E1187" s="936"/>
      <c r="AH1187" s="983"/>
      <c r="AI1187" s="983"/>
      <c r="AJ1187" s="968"/>
      <c r="AL1187" s="937"/>
    </row>
    <row r="1188" spans="2:38" s="930" customFormat="1" ht="20.25" customHeight="1" x14ac:dyDescent="0.2">
      <c r="B1188" s="936"/>
      <c r="C1188" s="936"/>
      <c r="D1188" s="936"/>
      <c r="E1188" s="936"/>
      <c r="AH1188" s="983"/>
      <c r="AI1188" s="983"/>
      <c r="AJ1188" s="968"/>
      <c r="AL1188" s="937"/>
    </row>
    <row r="1189" spans="2:38" s="930" customFormat="1" ht="20.25" customHeight="1" x14ac:dyDescent="0.2">
      <c r="B1189" s="936"/>
      <c r="C1189" s="936"/>
      <c r="D1189" s="936"/>
      <c r="E1189" s="936"/>
      <c r="AH1189" s="983"/>
      <c r="AI1189" s="983"/>
      <c r="AJ1189" s="968"/>
      <c r="AL1189" s="937"/>
    </row>
    <row r="1190" spans="2:38" s="930" customFormat="1" ht="20.25" customHeight="1" x14ac:dyDescent="0.2">
      <c r="B1190" s="936"/>
      <c r="C1190" s="936"/>
      <c r="D1190" s="936"/>
      <c r="E1190" s="936"/>
      <c r="AH1190" s="983"/>
      <c r="AI1190" s="983"/>
      <c r="AJ1190" s="968"/>
      <c r="AL1190" s="937"/>
    </row>
    <row r="1191" spans="2:38" s="930" customFormat="1" ht="20.25" customHeight="1" x14ac:dyDescent="0.2">
      <c r="B1191" s="936"/>
      <c r="C1191" s="936"/>
      <c r="D1191" s="936"/>
      <c r="E1191" s="936"/>
      <c r="AH1191" s="983"/>
      <c r="AI1191" s="983"/>
      <c r="AJ1191" s="968"/>
      <c r="AL1191" s="937"/>
    </row>
    <row r="1192" spans="2:38" s="930" customFormat="1" ht="20.25" customHeight="1" x14ac:dyDescent="0.2">
      <c r="B1192" s="936"/>
      <c r="C1192" s="936"/>
      <c r="D1192" s="936"/>
      <c r="E1192" s="936"/>
      <c r="AH1192" s="983"/>
      <c r="AI1192" s="983"/>
      <c r="AJ1192" s="968"/>
      <c r="AL1192" s="937"/>
    </row>
    <row r="1193" spans="2:38" s="930" customFormat="1" ht="20.25" customHeight="1" x14ac:dyDescent="0.2">
      <c r="B1193" s="936"/>
      <c r="C1193" s="936"/>
      <c r="D1193" s="936"/>
      <c r="E1193" s="936"/>
      <c r="AH1193" s="983"/>
      <c r="AI1193" s="983"/>
      <c r="AJ1193" s="968"/>
      <c r="AL1193" s="937"/>
    </row>
    <row r="1194" spans="2:38" s="930" customFormat="1" ht="20.25" customHeight="1" x14ac:dyDescent="0.2">
      <c r="B1194" s="936"/>
      <c r="C1194" s="936"/>
      <c r="D1194" s="936"/>
      <c r="E1194" s="936"/>
      <c r="AH1194" s="983"/>
      <c r="AI1194" s="983"/>
      <c r="AJ1194" s="968"/>
      <c r="AL1194" s="937"/>
    </row>
    <row r="1195" spans="2:38" s="930" customFormat="1" ht="20.25" customHeight="1" x14ac:dyDescent="0.2">
      <c r="B1195" s="936"/>
      <c r="C1195" s="936"/>
      <c r="D1195" s="936"/>
      <c r="E1195" s="936"/>
      <c r="AH1195" s="983"/>
      <c r="AI1195" s="983"/>
      <c r="AJ1195" s="968"/>
      <c r="AL1195" s="937"/>
    </row>
    <row r="1196" spans="2:38" s="930" customFormat="1" ht="20.25" customHeight="1" x14ac:dyDescent="0.2">
      <c r="B1196" s="936"/>
      <c r="C1196" s="936"/>
      <c r="D1196" s="936"/>
      <c r="E1196" s="936"/>
      <c r="AH1196" s="983"/>
      <c r="AI1196" s="983"/>
      <c r="AJ1196" s="968"/>
      <c r="AL1196" s="937"/>
    </row>
    <row r="1197" spans="2:38" s="930" customFormat="1" ht="20.25" customHeight="1" x14ac:dyDescent="0.2">
      <c r="B1197" s="936"/>
      <c r="C1197" s="936"/>
      <c r="D1197" s="936"/>
      <c r="E1197" s="936"/>
      <c r="AH1197" s="983"/>
      <c r="AI1197" s="983"/>
      <c r="AJ1197" s="968"/>
      <c r="AL1197" s="937"/>
    </row>
    <row r="1198" spans="2:38" s="930" customFormat="1" ht="20.25" customHeight="1" x14ac:dyDescent="0.2">
      <c r="B1198" s="936"/>
      <c r="C1198" s="936"/>
      <c r="D1198" s="936"/>
      <c r="E1198" s="936"/>
      <c r="AH1198" s="983"/>
      <c r="AI1198" s="983"/>
      <c r="AJ1198" s="968"/>
      <c r="AL1198" s="937"/>
    </row>
    <row r="1199" spans="2:38" s="930" customFormat="1" ht="20.25" customHeight="1" x14ac:dyDescent="0.2">
      <c r="B1199" s="936"/>
      <c r="C1199" s="936"/>
      <c r="D1199" s="936"/>
      <c r="E1199" s="936"/>
      <c r="AH1199" s="983"/>
      <c r="AI1199" s="983"/>
      <c r="AJ1199" s="968"/>
      <c r="AL1199" s="937"/>
    </row>
    <row r="1200" spans="2:38" s="930" customFormat="1" ht="20.25" customHeight="1" x14ac:dyDescent="0.2">
      <c r="B1200" s="936"/>
      <c r="C1200" s="936"/>
      <c r="D1200" s="936"/>
      <c r="E1200" s="936"/>
      <c r="AH1200" s="983"/>
      <c r="AI1200" s="983"/>
      <c r="AJ1200" s="968"/>
      <c r="AL1200" s="937"/>
    </row>
    <row r="1201" spans="2:38" s="930" customFormat="1" ht="20.25" customHeight="1" x14ac:dyDescent="0.2">
      <c r="B1201" s="936"/>
      <c r="C1201" s="936"/>
      <c r="D1201" s="936"/>
      <c r="E1201" s="936"/>
      <c r="AH1201" s="983"/>
      <c r="AI1201" s="983"/>
      <c r="AJ1201" s="968"/>
      <c r="AL1201" s="937"/>
    </row>
    <row r="1202" spans="2:38" s="930" customFormat="1" ht="20.25" customHeight="1" x14ac:dyDescent="0.2">
      <c r="B1202" s="936"/>
      <c r="C1202" s="936"/>
      <c r="D1202" s="936"/>
      <c r="E1202" s="936"/>
      <c r="AH1202" s="983"/>
      <c r="AI1202" s="983"/>
      <c r="AJ1202" s="968"/>
      <c r="AL1202" s="937"/>
    </row>
    <row r="1203" spans="2:38" s="930" customFormat="1" ht="20.25" customHeight="1" x14ac:dyDescent="0.2">
      <c r="B1203" s="936"/>
      <c r="C1203" s="936"/>
      <c r="D1203" s="936"/>
      <c r="E1203" s="936"/>
      <c r="AH1203" s="983"/>
      <c r="AI1203" s="983"/>
      <c r="AJ1203" s="968"/>
      <c r="AL1203" s="937"/>
    </row>
    <row r="1204" spans="2:38" s="930" customFormat="1" ht="20.25" customHeight="1" x14ac:dyDescent="0.2">
      <c r="B1204" s="936"/>
      <c r="C1204" s="936"/>
      <c r="D1204" s="936"/>
      <c r="E1204" s="936"/>
      <c r="AH1204" s="983"/>
      <c r="AI1204" s="983"/>
      <c r="AJ1204" s="968"/>
      <c r="AL1204" s="937"/>
    </row>
    <row r="1205" spans="2:38" s="930" customFormat="1" ht="20.25" customHeight="1" x14ac:dyDescent="0.2">
      <c r="B1205" s="936"/>
      <c r="C1205" s="936"/>
      <c r="D1205" s="936"/>
      <c r="E1205" s="936"/>
      <c r="AH1205" s="983"/>
      <c r="AI1205" s="983"/>
      <c r="AJ1205" s="968"/>
      <c r="AL1205" s="937"/>
    </row>
    <row r="1206" spans="2:38" s="930" customFormat="1" ht="20.25" customHeight="1" x14ac:dyDescent="0.2">
      <c r="B1206" s="936"/>
      <c r="C1206" s="936"/>
      <c r="D1206" s="936"/>
      <c r="E1206" s="936"/>
      <c r="AH1206" s="983"/>
      <c r="AI1206" s="983"/>
      <c r="AJ1206" s="968"/>
      <c r="AL1206" s="937"/>
    </row>
    <row r="1207" spans="2:38" s="930" customFormat="1" ht="20.25" customHeight="1" x14ac:dyDescent="0.2">
      <c r="B1207" s="936"/>
      <c r="C1207" s="936"/>
      <c r="D1207" s="936"/>
      <c r="E1207" s="936"/>
      <c r="AH1207" s="983"/>
      <c r="AI1207" s="983"/>
      <c r="AJ1207" s="968"/>
      <c r="AL1207" s="937"/>
    </row>
    <row r="1208" spans="2:38" s="930" customFormat="1" ht="20.25" customHeight="1" x14ac:dyDescent="0.2">
      <c r="B1208" s="936"/>
      <c r="C1208" s="936"/>
      <c r="D1208" s="936"/>
      <c r="E1208" s="936"/>
      <c r="AH1208" s="983"/>
      <c r="AI1208" s="983"/>
      <c r="AJ1208" s="968"/>
      <c r="AL1208" s="937"/>
    </row>
    <row r="1209" spans="2:38" s="930" customFormat="1" ht="20.25" customHeight="1" x14ac:dyDescent="0.2">
      <c r="B1209" s="936"/>
      <c r="C1209" s="936"/>
      <c r="D1209" s="936"/>
      <c r="E1209" s="936"/>
      <c r="AH1209" s="983"/>
      <c r="AI1209" s="983"/>
      <c r="AJ1209" s="968"/>
      <c r="AL1209" s="937"/>
    </row>
    <row r="1210" spans="2:38" s="930" customFormat="1" ht="20.25" customHeight="1" x14ac:dyDescent="0.2">
      <c r="B1210" s="936"/>
      <c r="C1210" s="936"/>
      <c r="D1210" s="936"/>
      <c r="E1210" s="936"/>
      <c r="AH1210" s="983"/>
      <c r="AI1210" s="983"/>
      <c r="AJ1210" s="968"/>
      <c r="AL1210" s="937"/>
    </row>
    <row r="1211" spans="2:38" s="930" customFormat="1" ht="20.25" customHeight="1" x14ac:dyDescent="0.2">
      <c r="B1211" s="936"/>
      <c r="C1211" s="936"/>
      <c r="D1211" s="936"/>
      <c r="E1211" s="936"/>
      <c r="AH1211" s="983"/>
      <c r="AI1211" s="983"/>
      <c r="AJ1211" s="968"/>
      <c r="AL1211" s="937"/>
    </row>
    <row r="1212" spans="2:38" s="930" customFormat="1" ht="20.25" customHeight="1" x14ac:dyDescent="0.2">
      <c r="B1212" s="936"/>
      <c r="C1212" s="936"/>
      <c r="D1212" s="936"/>
      <c r="E1212" s="936"/>
      <c r="AH1212" s="983"/>
      <c r="AI1212" s="983"/>
      <c r="AJ1212" s="968"/>
      <c r="AL1212" s="937"/>
    </row>
    <row r="1213" spans="2:38" s="930" customFormat="1" ht="20.25" customHeight="1" x14ac:dyDescent="0.2">
      <c r="B1213" s="936"/>
      <c r="C1213" s="936"/>
      <c r="D1213" s="936"/>
      <c r="E1213" s="936"/>
      <c r="AH1213" s="983"/>
      <c r="AI1213" s="983"/>
      <c r="AJ1213" s="968"/>
      <c r="AL1213" s="937"/>
    </row>
    <row r="1214" spans="2:38" s="930" customFormat="1" ht="20.25" customHeight="1" x14ac:dyDescent="0.2">
      <c r="B1214" s="936"/>
      <c r="C1214" s="936"/>
      <c r="D1214" s="936"/>
      <c r="E1214" s="936"/>
      <c r="AH1214" s="983"/>
      <c r="AI1214" s="983"/>
      <c r="AJ1214" s="968"/>
      <c r="AL1214" s="937"/>
    </row>
    <row r="1215" spans="2:38" s="930" customFormat="1" ht="20.25" customHeight="1" x14ac:dyDescent="0.2">
      <c r="B1215" s="936"/>
      <c r="C1215" s="936"/>
      <c r="D1215" s="936"/>
      <c r="E1215" s="936"/>
      <c r="AH1215" s="983"/>
      <c r="AI1215" s="983"/>
      <c r="AJ1215" s="968"/>
      <c r="AL1215" s="937"/>
    </row>
    <row r="1216" spans="2:38" s="930" customFormat="1" ht="20.25" customHeight="1" x14ac:dyDescent="0.2">
      <c r="B1216" s="936"/>
      <c r="C1216" s="936"/>
      <c r="D1216" s="936"/>
      <c r="E1216" s="936"/>
      <c r="AH1216" s="983"/>
      <c r="AI1216" s="983"/>
      <c r="AJ1216" s="968"/>
      <c r="AL1216" s="937"/>
    </row>
    <row r="1217" spans="2:38" s="930" customFormat="1" ht="20.25" customHeight="1" x14ac:dyDescent="0.2">
      <c r="B1217" s="936"/>
      <c r="C1217" s="936"/>
      <c r="D1217" s="936"/>
      <c r="E1217" s="936"/>
      <c r="AH1217" s="983"/>
      <c r="AI1217" s="983"/>
      <c r="AJ1217" s="968"/>
      <c r="AL1217" s="937"/>
    </row>
    <row r="1218" spans="2:38" s="930" customFormat="1" ht="20.25" customHeight="1" x14ac:dyDescent="0.2">
      <c r="B1218" s="936"/>
      <c r="C1218" s="936"/>
      <c r="D1218" s="936"/>
      <c r="E1218" s="936"/>
      <c r="AH1218" s="983"/>
      <c r="AI1218" s="983"/>
      <c r="AJ1218" s="968"/>
      <c r="AL1218" s="937"/>
    </row>
    <row r="1219" spans="2:38" s="930" customFormat="1" ht="20.25" customHeight="1" x14ac:dyDescent="0.2">
      <c r="B1219" s="936"/>
      <c r="C1219" s="936"/>
      <c r="D1219" s="936"/>
      <c r="E1219" s="936"/>
      <c r="AH1219" s="983"/>
      <c r="AI1219" s="983"/>
      <c r="AJ1219" s="968"/>
      <c r="AL1219" s="937"/>
    </row>
    <row r="1220" spans="2:38" s="930" customFormat="1" ht="20.25" customHeight="1" x14ac:dyDescent="0.2">
      <c r="B1220" s="936"/>
      <c r="C1220" s="936"/>
      <c r="D1220" s="936"/>
      <c r="E1220" s="936"/>
      <c r="AH1220" s="983"/>
      <c r="AI1220" s="983"/>
      <c r="AJ1220" s="968"/>
      <c r="AL1220" s="937"/>
    </row>
    <row r="1221" spans="2:38" s="930" customFormat="1" ht="20.25" customHeight="1" x14ac:dyDescent="0.2">
      <c r="B1221" s="936"/>
      <c r="C1221" s="936"/>
      <c r="D1221" s="936"/>
      <c r="E1221" s="936"/>
      <c r="AH1221" s="983"/>
      <c r="AI1221" s="983"/>
      <c r="AJ1221" s="968"/>
      <c r="AL1221" s="937"/>
    </row>
    <row r="1222" spans="2:38" s="930" customFormat="1" ht="20.25" customHeight="1" x14ac:dyDescent="0.2">
      <c r="B1222" s="936"/>
      <c r="C1222" s="936"/>
      <c r="D1222" s="936"/>
      <c r="E1222" s="936"/>
      <c r="AH1222" s="983"/>
      <c r="AI1222" s="983"/>
      <c r="AJ1222" s="968"/>
      <c r="AL1222" s="937"/>
    </row>
    <row r="1223" spans="2:38" s="930" customFormat="1" ht="20.25" customHeight="1" x14ac:dyDescent="0.2">
      <c r="B1223" s="936"/>
      <c r="C1223" s="936"/>
      <c r="D1223" s="936"/>
      <c r="E1223" s="936"/>
      <c r="AH1223" s="983"/>
      <c r="AI1223" s="983"/>
      <c r="AJ1223" s="968"/>
      <c r="AL1223" s="937"/>
    </row>
    <row r="1224" spans="2:38" s="930" customFormat="1" ht="20.25" customHeight="1" x14ac:dyDescent="0.2">
      <c r="B1224" s="936"/>
      <c r="C1224" s="936"/>
      <c r="D1224" s="936"/>
      <c r="E1224" s="936"/>
      <c r="AH1224" s="983"/>
      <c r="AI1224" s="983"/>
      <c r="AJ1224" s="968"/>
      <c r="AL1224" s="937"/>
    </row>
    <row r="1225" spans="2:38" s="930" customFormat="1" ht="20.25" customHeight="1" x14ac:dyDescent="0.2">
      <c r="B1225" s="936"/>
      <c r="C1225" s="936"/>
      <c r="D1225" s="936"/>
      <c r="E1225" s="936"/>
      <c r="AH1225" s="983"/>
      <c r="AI1225" s="983"/>
      <c r="AJ1225" s="968"/>
      <c r="AL1225" s="937"/>
    </row>
    <row r="1226" spans="2:38" s="930" customFormat="1" ht="20.25" customHeight="1" x14ac:dyDescent="0.2">
      <c r="B1226" s="936"/>
      <c r="C1226" s="936"/>
      <c r="D1226" s="936"/>
      <c r="E1226" s="936"/>
      <c r="AH1226" s="983"/>
      <c r="AI1226" s="983"/>
      <c r="AJ1226" s="968"/>
      <c r="AL1226" s="937"/>
    </row>
    <row r="1227" spans="2:38" s="930" customFormat="1" ht="20.25" customHeight="1" x14ac:dyDescent="0.2">
      <c r="B1227" s="936"/>
      <c r="C1227" s="936"/>
      <c r="D1227" s="936"/>
      <c r="E1227" s="936"/>
      <c r="AH1227" s="983"/>
      <c r="AI1227" s="983"/>
      <c r="AJ1227" s="968"/>
      <c r="AL1227" s="937"/>
    </row>
    <row r="1228" spans="2:38" s="930" customFormat="1" ht="20.25" customHeight="1" x14ac:dyDescent="0.2">
      <c r="B1228" s="936"/>
      <c r="C1228" s="936"/>
      <c r="D1228" s="936"/>
      <c r="E1228" s="936"/>
      <c r="AH1228" s="983"/>
      <c r="AI1228" s="983"/>
      <c r="AJ1228" s="968"/>
      <c r="AL1228" s="937"/>
    </row>
    <row r="1229" spans="2:38" s="930" customFormat="1" ht="20.25" customHeight="1" x14ac:dyDescent="0.2">
      <c r="B1229" s="936"/>
      <c r="C1229" s="936"/>
      <c r="D1229" s="936"/>
      <c r="E1229" s="936"/>
      <c r="AH1229" s="983"/>
      <c r="AI1229" s="983"/>
      <c r="AJ1229" s="968"/>
      <c r="AL1229" s="937"/>
    </row>
    <row r="1230" spans="2:38" s="930" customFormat="1" ht="20.25" customHeight="1" x14ac:dyDescent="0.2">
      <c r="B1230" s="936"/>
      <c r="C1230" s="936"/>
      <c r="D1230" s="936"/>
      <c r="E1230" s="936"/>
      <c r="AH1230" s="983"/>
      <c r="AI1230" s="983"/>
      <c r="AJ1230" s="968"/>
      <c r="AL1230" s="937"/>
    </row>
    <row r="1231" spans="2:38" s="930" customFormat="1" ht="20.25" customHeight="1" x14ac:dyDescent="0.2">
      <c r="B1231" s="936"/>
      <c r="C1231" s="936"/>
      <c r="D1231" s="936"/>
      <c r="E1231" s="936"/>
      <c r="AH1231" s="983"/>
      <c r="AI1231" s="983"/>
      <c r="AJ1231" s="968"/>
      <c r="AL1231" s="937"/>
    </row>
    <row r="1232" spans="2:38" s="930" customFormat="1" ht="20.25" customHeight="1" x14ac:dyDescent="0.2">
      <c r="B1232" s="936"/>
      <c r="C1232" s="936"/>
      <c r="D1232" s="936"/>
      <c r="E1232" s="936"/>
      <c r="AH1232" s="983"/>
      <c r="AI1232" s="983"/>
      <c r="AJ1232" s="968"/>
      <c r="AL1232" s="937"/>
    </row>
    <row r="1233" spans="2:38" s="930" customFormat="1" ht="20.25" customHeight="1" x14ac:dyDescent="0.2">
      <c r="B1233" s="936"/>
      <c r="C1233" s="936"/>
      <c r="D1233" s="936"/>
      <c r="E1233" s="936"/>
      <c r="AH1233" s="983"/>
      <c r="AI1233" s="983"/>
      <c r="AJ1233" s="968"/>
      <c r="AL1233" s="937"/>
    </row>
    <row r="1234" spans="2:38" s="930" customFormat="1" ht="20.25" customHeight="1" x14ac:dyDescent="0.2">
      <c r="B1234" s="936"/>
      <c r="C1234" s="936"/>
      <c r="D1234" s="936"/>
      <c r="E1234" s="936"/>
      <c r="AH1234" s="983"/>
      <c r="AI1234" s="983"/>
      <c r="AJ1234" s="968"/>
      <c r="AL1234" s="937"/>
    </row>
    <row r="1235" spans="2:38" s="930" customFormat="1" ht="20.25" customHeight="1" x14ac:dyDescent="0.2">
      <c r="B1235" s="936"/>
      <c r="C1235" s="936"/>
      <c r="D1235" s="936"/>
      <c r="E1235" s="936"/>
      <c r="AH1235" s="983"/>
      <c r="AI1235" s="983"/>
      <c r="AJ1235" s="968"/>
      <c r="AL1235" s="937"/>
    </row>
    <row r="1236" spans="2:38" s="930" customFormat="1" ht="20.25" customHeight="1" x14ac:dyDescent="0.2">
      <c r="B1236" s="936"/>
      <c r="C1236" s="936"/>
      <c r="D1236" s="936"/>
      <c r="E1236" s="936"/>
      <c r="AH1236" s="983"/>
      <c r="AI1236" s="983"/>
      <c r="AJ1236" s="968"/>
      <c r="AL1236" s="937"/>
    </row>
    <row r="1237" spans="2:38" s="930" customFormat="1" ht="20.25" customHeight="1" x14ac:dyDescent="0.2">
      <c r="B1237" s="936"/>
      <c r="C1237" s="936"/>
      <c r="D1237" s="936"/>
      <c r="E1237" s="936"/>
      <c r="AH1237" s="983"/>
      <c r="AI1237" s="983"/>
      <c r="AJ1237" s="968"/>
      <c r="AL1237" s="937"/>
    </row>
    <row r="1238" spans="2:38" s="930" customFormat="1" ht="20.25" customHeight="1" x14ac:dyDescent="0.2">
      <c r="B1238" s="936"/>
      <c r="C1238" s="936"/>
      <c r="D1238" s="936"/>
      <c r="E1238" s="936"/>
      <c r="AH1238" s="983"/>
      <c r="AI1238" s="983"/>
      <c r="AJ1238" s="968"/>
      <c r="AL1238" s="937"/>
    </row>
    <row r="1239" spans="2:38" s="930" customFormat="1" ht="20.25" customHeight="1" x14ac:dyDescent="0.2">
      <c r="B1239" s="936"/>
      <c r="C1239" s="936"/>
      <c r="D1239" s="936"/>
      <c r="E1239" s="936"/>
      <c r="AH1239" s="983"/>
      <c r="AI1239" s="983"/>
      <c r="AJ1239" s="968"/>
      <c r="AL1239" s="937"/>
    </row>
    <row r="1240" spans="2:38" s="930" customFormat="1" ht="20.25" customHeight="1" x14ac:dyDescent="0.2">
      <c r="B1240" s="936"/>
      <c r="C1240" s="936"/>
      <c r="D1240" s="936"/>
      <c r="E1240" s="936"/>
      <c r="AH1240" s="983"/>
      <c r="AI1240" s="983"/>
      <c r="AJ1240" s="968"/>
      <c r="AL1240" s="937"/>
    </row>
    <row r="1241" spans="2:38" s="930" customFormat="1" ht="20.25" customHeight="1" x14ac:dyDescent="0.2">
      <c r="B1241" s="936"/>
      <c r="C1241" s="936"/>
      <c r="D1241" s="936"/>
      <c r="E1241" s="936"/>
      <c r="AH1241" s="983"/>
      <c r="AI1241" s="983"/>
      <c r="AJ1241" s="968"/>
      <c r="AL1241" s="937"/>
    </row>
    <row r="1242" spans="2:38" s="930" customFormat="1" ht="20.25" customHeight="1" x14ac:dyDescent="0.2">
      <c r="B1242" s="936"/>
      <c r="C1242" s="936"/>
      <c r="D1242" s="936"/>
      <c r="E1242" s="936"/>
      <c r="AH1242" s="983"/>
      <c r="AI1242" s="983"/>
      <c r="AJ1242" s="968"/>
      <c r="AL1242" s="937"/>
    </row>
    <row r="1243" spans="2:38" s="930" customFormat="1" ht="20.25" customHeight="1" x14ac:dyDescent="0.2">
      <c r="B1243" s="936"/>
      <c r="C1243" s="936"/>
      <c r="D1243" s="936"/>
      <c r="E1243" s="936"/>
      <c r="AH1243" s="983"/>
      <c r="AI1243" s="983"/>
      <c r="AJ1243" s="968"/>
      <c r="AL1243" s="937"/>
    </row>
    <row r="1244" spans="2:38" s="930" customFormat="1" ht="20.25" customHeight="1" x14ac:dyDescent="0.2">
      <c r="B1244" s="936"/>
      <c r="C1244" s="936"/>
      <c r="D1244" s="936"/>
      <c r="E1244" s="936"/>
      <c r="AH1244" s="983"/>
      <c r="AI1244" s="983"/>
      <c r="AJ1244" s="968"/>
      <c r="AL1244" s="937"/>
    </row>
    <row r="1245" spans="2:38" s="930" customFormat="1" ht="20.25" customHeight="1" x14ac:dyDescent="0.2">
      <c r="B1245" s="936"/>
      <c r="C1245" s="936"/>
      <c r="D1245" s="936"/>
      <c r="E1245" s="936"/>
      <c r="AH1245" s="983"/>
      <c r="AI1245" s="983"/>
      <c r="AJ1245" s="968"/>
      <c r="AL1245" s="937"/>
    </row>
    <row r="1246" spans="2:38" s="930" customFormat="1" ht="20.25" customHeight="1" x14ac:dyDescent="0.2">
      <c r="B1246" s="936"/>
      <c r="C1246" s="936"/>
      <c r="D1246" s="936"/>
      <c r="E1246" s="936"/>
      <c r="AH1246" s="983"/>
      <c r="AI1246" s="983"/>
      <c r="AJ1246" s="968"/>
      <c r="AL1246" s="937"/>
    </row>
    <row r="1247" spans="2:38" s="930" customFormat="1" ht="20.25" customHeight="1" x14ac:dyDescent="0.2">
      <c r="B1247" s="936"/>
      <c r="C1247" s="936"/>
      <c r="D1247" s="936"/>
      <c r="E1247" s="936"/>
      <c r="AH1247" s="983"/>
      <c r="AI1247" s="983"/>
      <c r="AJ1247" s="968"/>
      <c r="AL1247" s="937"/>
    </row>
    <row r="1248" spans="2:38" s="930" customFormat="1" ht="20.25" customHeight="1" x14ac:dyDescent="0.2">
      <c r="B1248" s="936"/>
      <c r="C1248" s="936"/>
      <c r="D1248" s="936"/>
      <c r="E1248" s="936"/>
      <c r="AH1248" s="983"/>
      <c r="AI1248" s="983"/>
      <c r="AJ1248" s="968"/>
      <c r="AL1248" s="937"/>
    </row>
    <row r="1249" spans="2:38" s="930" customFormat="1" ht="20.25" customHeight="1" x14ac:dyDescent="0.2">
      <c r="B1249" s="936"/>
      <c r="C1249" s="936"/>
      <c r="D1249" s="936"/>
      <c r="E1249" s="936"/>
      <c r="AH1249" s="983"/>
      <c r="AI1249" s="983"/>
      <c r="AJ1249" s="968"/>
      <c r="AL1249" s="937"/>
    </row>
    <row r="1250" spans="2:38" s="930" customFormat="1" ht="20.25" customHeight="1" x14ac:dyDescent="0.2">
      <c r="B1250" s="936"/>
      <c r="C1250" s="936"/>
      <c r="D1250" s="936"/>
      <c r="E1250" s="936"/>
      <c r="AH1250" s="983"/>
      <c r="AI1250" s="983"/>
      <c r="AJ1250" s="968"/>
      <c r="AL1250" s="937"/>
    </row>
    <row r="1251" spans="2:38" s="930" customFormat="1" ht="20.25" customHeight="1" x14ac:dyDescent="0.2">
      <c r="B1251" s="936"/>
      <c r="C1251" s="936"/>
      <c r="D1251" s="936"/>
      <c r="E1251" s="936"/>
      <c r="AH1251" s="983"/>
      <c r="AI1251" s="983"/>
      <c r="AJ1251" s="968"/>
      <c r="AL1251" s="937"/>
    </row>
    <row r="1252" spans="2:38" s="930" customFormat="1" ht="20.25" customHeight="1" x14ac:dyDescent="0.2">
      <c r="B1252" s="936"/>
      <c r="C1252" s="936"/>
      <c r="D1252" s="936"/>
      <c r="E1252" s="936"/>
      <c r="AH1252" s="983"/>
      <c r="AI1252" s="983"/>
      <c r="AJ1252" s="968"/>
      <c r="AL1252" s="937"/>
    </row>
    <row r="1253" spans="2:38" s="930" customFormat="1" ht="20.25" customHeight="1" x14ac:dyDescent="0.2">
      <c r="B1253" s="936"/>
      <c r="C1253" s="936"/>
      <c r="D1253" s="936"/>
      <c r="E1253" s="936"/>
      <c r="AH1253" s="983"/>
      <c r="AI1253" s="983"/>
      <c r="AJ1253" s="968"/>
      <c r="AL1253" s="937"/>
    </row>
    <row r="1254" spans="2:38" s="930" customFormat="1" ht="20.25" customHeight="1" x14ac:dyDescent="0.2">
      <c r="B1254" s="936"/>
      <c r="C1254" s="936"/>
      <c r="D1254" s="936"/>
      <c r="E1254" s="936"/>
      <c r="AH1254" s="983"/>
      <c r="AI1254" s="983"/>
      <c r="AJ1254" s="968"/>
      <c r="AL1254" s="937"/>
    </row>
    <row r="1255" spans="2:38" s="930" customFormat="1" ht="20.25" customHeight="1" x14ac:dyDescent="0.2">
      <c r="B1255" s="936"/>
      <c r="C1255" s="936"/>
      <c r="D1255" s="936"/>
      <c r="E1255" s="936"/>
      <c r="AH1255" s="983"/>
      <c r="AI1255" s="983"/>
      <c r="AJ1255" s="968"/>
      <c r="AL1255" s="937"/>
    </row>
    <row r="1256" spans="2:38" s="930" customFormat="1" ht="20.25" customHeight="1" x14ac:dyDescent="0.2">
      <c r="B1256" s="936"/>
      <c r="C1256" s="936"/>
      <c r="D1256" s="936"/>
      <c r="E1256" s="936"/>
      <c r="AH1256" s="983"/>
      <c r="AI1256" s="983"/>
      <c r="AJ1256" s="968"/>
      <c r="AL1256" s="937"/>
    </row>
    <row r="1257" spans="2:38" s="930" customFormat="1" ht="20.25" customHeight="1" x14ac:dyDescent="0.2">
      <c r="B1257" s="936"/>
      <c r="C1257" s="936"/>
      <c r="D1257" s="936"/>
      <c r="E1257" s="936"/>
      <c r="AH1257" s="983"/>
      <c r="AI1257" s="983"/>
      <c r="AJ1257" s="968"/>
      <c r="AL1257" s="937"/>
    </row>
    <row r="1258" spans="2:38" s="930" customFormat="1" ht="20.25" customHeight="1" x14ac:dyDescent="0.2">
      <c r="B1258" s="936"/>
      <c r="C1258" s="936"/>
      <c r="D1258" s="936"/>
      <c r="E1258" s="936"/>
      <c r="AH1258" s="983"/>
      <c r="AI1258" s="983"/>
      <c r="AJ1258" s="968"/>
      <c r="AL1258" s="937"/>
    </row>
    <row r="1259" spans="2:38" s="930" customFormat="1" ht="20.25" customHeight="1" x14ac:dyDescent="0.2">
      <c r="B1259" s="936"/>
      <c r="C1259" s="936"/>
      <c r="D1259" s="936"/>
      <c r="E1259" s="936"/>
      <c r="AH1259" s="983"/>
      <c r="AI1259" s="983"/>
      <c r="AJ1259" s="968"/>
      <c r="AL1259" s="937"/>
    </row>
    <row r="1260" spans="2:38" s="930" customFormat="1" ht="20.25" customHeight="1" x14ac:dyDescent="0.2">
      <c r="B1260" s="936"/>
      <c r="C1260" s="936"/>
      <c r="D1260" s="936"/>
      <c r="E1260" s="936"/>
      <c r="AH1260" s="983"/>
      <c r="AI1260" s="983"/>
      <c r="AJ1260" s="968"/>
      <c r="AL1260" s="937"/>
    </row>
    <row r="1261" spans="2:38" s="930" customFormat="1" ht="20.25" customHeight="1" x14ac:dyDescent="0.2">
      <c r="B1261" s="936"/>
      <c r="C1261" s="936"/>
      <c r="D1261" s="936"/>
      <c r="E1261" s="936"/>
      <c r="AH1261" s="983"/>
      <c r="AI1261" s="983"/>
      <c r="AJ1261" s="968"/>
      <c r="AL1261" s="937"/>
    </row>
    <row r="1262" spans="2:38" s="930" customFormat="1" ht="20.25" customHeight="1" x14ac:dyDescent="0.2">
      <c r="B1262" s="936"/>
      <c r="C1262" s="936"/>
      <c r="D1262" s="936"/>
      <c r="E1262" s="936"/>
      <c r="AH1262" s="983"/>
      <c r="AI1262" s="983"/>
      <c r="AJ1262" s="968"/>
      <c r="AL1262" s="937"/>
    </row>
    <row r="1263" spans="2:38" s="930" customFormat="1" ht="20.25" customHeight="1" x14ac:dyDescent="0.2">
      <c r="B1263" s="936"/>
      <c r="C1263" s="936"/>
      <c r="D1263" s="936"/>
      <c r="E1263" s="936"/>
      <c r="AH1263" s="983"/>
      <c r="AI1263" s="983"/>
      <c r="AJ1263" s="968"/>
      <c r="AL1263" s="937"/>
    </row>
    <row r="1264" spans="2:38" s="930" customFormat="1" ht="20.25" customHeight="1" x14ac:dyDescent="0.2">
      <c r="B1264" s="936"/>
      <c r="C1264" s="936"/>
      <c r="D1264" s="936"/>
      <c r="E1264" s="936"/>
      <c r="AH1264" s="983"/>
      <c r="AI1264" s="983"/>
      <c r="AJ1264" s="968"/>
      <c r="AL1264" s="937"/>
    </row>
    <row r="1265" spans="2:38" s="930" customFormat="1" ht="20.25" customHeight="1" x14ac:dyDescent="0.2">
      <c r="B1265" s="936"/>
      <c r="C1265" s="936"/>
      <c r="D1265" s="936"/>
      <c r="E1265" s="936"/>
      <c r="AH1265" s="983"/>
      <c r="AI1265" s="983"/>
      <c r="AJ1265" s="968"/>
      <c r="AL1265" s="937"/>
    </row>
    <row r="1266" spans="2:38" s="930" customFormat="1" ht="20.25" customHeight="1" x14ac:dyDescent="0.2">
      <c r="B1266" s="936"/>
      <c r="C1266" s="936"/>
      <c r="D1266" s="936"/>
      <c r="E1266" s="936"/>
      <c r="AH1266" s="983"/>
      <c r="AI1266" s="983"/>
      <c r="AJ1266" s="968"/>
      <c r="AL1266" s="937"/>
    </row>
    <row r="1267" spans="2:38" s="930" customFormat="1" ht="20.25" customHeight="1" x14ac:dyDescent="0.2">
      <c r="B1267" s="936"/>
      <c r="C1267" s="936"/>
      <c r="D1267" s="936"/>
      <c r="E1267" s="936"/>
      <c r="AH1267" s="983"/>
      <c r="AI1267" s="983"/>
      <c r="AJ1267" s="968"/>
      <c r="AL1267" s="937"/>
    </row>
    <row r="1268" spans="2:38" s="930" customFormat="1" ht="20.25" customHeight="1" x14ac:dyDescent="0.2">
      <c r="B1268" s="936"/>
      <c r="C1268" s="936"/>
      <c r="D1268" s="936"/>
      <c r="E1268" s="936"/>
      <c r="AH1268" s="983"/>
      <c r="AI1268" s="983"/>
      <c r="AJ1268" s="968"/>
      <c r="AL1268" s="937"/>
    </row>
    <row r="1269" spans="2:38" s="930" customFormat="1" ht="20.25" customHeight="1" x14ac:dyDescent="0.2">
      <c r="B1269" s="936"/>
      <c r="C1269" s="936"/>
      <c r="D1269" s="936"/>
      <c r="E1269" s="936"/>
      <c r="AH1269" s="983"/>
      <c r="AI1269" s="983"/>
      <c r="AJ1269" s="968"/>
      <c r="AL1269" s="937"/>
    </row>
    <row r="1270" spans="2:38" s="930" customFormat="1" ht="20.25" customHeight="1" x14ac:dyDescent="0.2">
      <c r="B1270" s="936"/>
      <c r="C1270" s="936"/>
      <c r="D1270" s="936"/>
      <c r="E1270" s="936"/>
      <c r="AH1270" s="983"/>
      <c r="AI1270" s="983"/>
      <c r="AJ1270" s="968"/>
      <c r="AL1270" s="937"/>
    </row>
    <row r="1271" spans="2:38" s="930" customFormat="1" ht="20.25" customHeight="1" x14ac:dyDescent="0.2">
      <c r="B1271" s="936"/>
      <c r="C1271" s="936"/>
      <c r="D1271" s="936"/>
      <c r="E1271" s="936"/>
      <c r="AH1271" s="983"/>
      <c r="AI1271" s="983"/>
      <c r="AJ1271" s="968"/>
      <c r="AL1271" s="937"/>
    </row>
    <row r="1272" spans="2:38" s="930" customFormat="1" ht="20.25" customHeight="1" x14ac:dyDescent="0.2">
      <c r="B1272" s="936"/>
      <c r="C1272" s="936"/>
      <c r="D1272" s="936"/>
      <c r="E1272" s="936"/>
      <c r="AH1272" s="983"/>
      <c r="AI1272" s="983"/>
      <c r="AJ1272" s="968"/>
      <c r="AL1272" s="937"/>
    </row>
    <row r="1273" spans="2:38" s="930" customFormat="1" ht="20.25" customHeight="1" x14ac:dyDescent="0.2">
      <c r="B1273" s="936"/>
      <c r="C1273" s="936"/>
      <c r="D1273" s="936"/>
      <c r="E1273" s="936"/>
      <c r="AH1273" s="983"/>
      <c r="AI1273" s="983"/>
      <c r="AJ1273" s="968"/>
      <c r="AL1273" s="937"/>
    </row>
    <row r="1274" spans="2:38" s="930" customFormat="1" ht="20.25" customHeight="1" x14ac:dyDescent="0.2">
      <c r="B1274" s="936"/>
      <c r="C1274" s="936"/>
      <c r="D1274" s="936"/>
      <c r="E1274" s="936"/>
      <c r="AH1274" s="983"/>
      <c r="AI1274" s="983"/>
      <c r="AJ1274" s="968"/>
      <c r="AL1274" s="937"/>
    </row>
    <row r="1275" spans="2:38" s="930" customFormat="1" ht="20.25" customHeight="1" x14ac:dyDescent="0.2">
      <c r="B1275" s="936"/>
      <c r="C1275" s="936"/>
      <c r="D1275" s="936"/>
      <c r="E1275" s="936"/>
      <c r="AH1275" s="983"/>
      <c r="AI1275" s="983"/>
      <c r="AJ1275" s="968"/>
      <c r="AL1275" s="937"/>
    </row>
    <row r="1276" spans="2:38" s="930" customFormat="1" ht="20.25" customHeight="1" x14ac:dyDescent="0.2">
      <c r="B1276" s="936"/>
      <c r="C1276" s="936"/>
      <c r="D1276" s="936"/>
      <c r="E1276" s="936"/>
      <c r="AH1276" s="983"/>
      <c r="AI1276" s="983"/>
      <c r="AJ1276" s="968"/>
      <c r="AL1276" s="937"/>
    </row>
    <row r="1277" spans="2:38" s="930" customFormat="1" ht="20.25" customHeight="1" x14ac:dyDescent="0.2">
      <c r="B1277" s="936"/>
      <c r="C1277" s="936"/>
      <c r="D1277" s="936"/>
      <c r="E1277" s="936"/>
      <c r="AH1277" s="983"/>
      <c r="AI1277" s="983"/>
      <c r="AJ1277" s="968"/>
      <c r="AL1277" s="937"/>
    </row>
    <row r="1278" spans="2:38" s="930" customFormat="1" ht="20.25" customHeight="1" x14ac:dyDescent="0.2">
      <c r="B1278" s="936"/>
      <c r="C1278" s="936"/>
      <c r="D1278" s="936"/>
      <c r="E1278" s="936"/>
      <c r="AH1278" s="983"/>
      <c r="AI1278" s="983"/>
      <c r="AJ1278" s="968"/>
      <c r="AL1278" s="937"/>
    </row>
    <row r="1279" spans="2:38" s="930" customFormat="1" ht="20.25" customHeight="1" x14ac:dyDescent="0.2">
      <c r="B1279" s="936"/>
      <c r="C1279" s="936"/>
      <c r="D1279" s="936"/>
      <c r="E1279" s="936"/>
      <c r="AH1279" s="983"/>
      <c r="AI1279" s="983"/>
      <c r="AJ1279" s="968"/>
      <c r="AL1279" s="937"/>
    </row>
    <row r="1280" spans="2:38" s="930" customFormat="1" ht="20.25" customHeight="1" x14ac:dyDescent="0.2">
      <c r="B1280" s="936"/>
      <c r="C1280" s="936"/>
      <c r="D1280" s="936"/>
      <c r="E1280" s="936"/>
      <c r="AH1280" s="983"/>
      <c r="AI1280" s="983"/>
      <c r="AJ1280" s="968"/>
      <c r="AL1280" s="937"/>
    </row>
    <row r="1281" spans="2:38" s="930" customFormat="1" ht="20.25" customHeight="1" x14ac:dyDescent="0.2">
      <c r="B1281" s="936"/>
      <c r="C1281" s="936"/>
      <c r="D1281" s="936"/>
      <c r="E1281" s="936"/>
      <c r="AH1281" s="983"/>
      <c r="AI1281" s="983"/>
      <c r="AJ1281" s="968"/>
      <c r="AL1281" s="937"/>
    </row>
    <row r="1282" spans="2:38" s="930" customFormat="1" ht="20.25" customHeight="1" x14ac:dyDescent="0.2">
      <c r="B1282" s="936"/>
      <c r="C1282" s="936"/>
      <c r="D1282" s="936"/>
      <c r="E1282" s="936"/>
      <c r="AH1282" s="983"/>
      <c r="AI1282" s="983"/>
      <c r="AJ1282" s="968"/>
      <c r="AL1282" s="937"/>
    </row>
    <row r="1283" spans="2:38" s="930" customFormat="1" ht="20.25" customHeight="1" x14ac:dyDescent="0.2">
      <c r="B1283" s="936"/>
      <c r="C1283" s="936"/>
      <c r="D1283" s="936"/>
      <c r="E1283" s="936"/>
      <c r="AH1283" s="983"/>
      <c r="AI1283" s="983"/>
      <c r="AJ1283" s="968"/>
      <c r="AL1283" s="937"/>
    </row>
    <row r="1284" spans="2:38" s="930" customFormat="1" ht="20.25" customHeight="1" x14ac:dyDescent="0.2">
      <c r="B1284" s="936"/>
      <c r="C1284" s="936"/>
      <c r="D1284" s="936"/>
      <c r="E1284" s="936"/>
      <c r="AH1284" s="983"/>
      <c r="AI1284" s="983"/>
      <c r="AJ1284" s="968"/>
      <c r="AL1284" s="937"/>
    </row>
    <row r="1285" spans="2:38" s="930" customFormat="1" ht="20.25" customHeight="1" x14ac:dyDescent="0.2">
      <c r="B1285" s="936"/>
      <c r="C1285" s="936"/>
      <c r="D1285" s="936"/>
      <c r="E1285" s="936"/>
      <c r="AH1285" s="983"/>
      <c r="AI1285" s="983"/>
      <c r="AJ1285" s="968"/>
      <c r="AL1285" s="937"/>
    </row>
    <row r="1286" spans="2:38" s="930" customFormat="1" ht="20.25" customHeight="1" x14ac:dyDescent="0.2">
      <c r="B1286" s="936"/>
      <c r="C1286" s="936"/>
      <c r="D1286" s="936"/>
      <c r="E1286" s="936"/>
      <c r="AH1286" s="983"/>
      <c r="AI1286" s="983"/>
      <c r="AJ1286" s="968"/>
      <c r="AL1286" s="937"/>
    </row>
    <row r="1287" spans="2:38" s="930" customFormat="1" ht="20.25" customHeight="1" x14ac:dyDescent="0.2">
      <c r="B1287" s="936"/>
      <c r="C1287" s="936"/>
      <c r="D1287" s="936"/>
      <c r="E1287" s="936"/>
      <c r="AH1287" s="983"/>
      <c r="AI1287" s="983"/>
      <c r="AJ1287" s="968"/>
      <c r="AL1287" s="937"/>
    </row>
    <row r="1288" spans="2:38" s="930" customFormat="1" ht="20.25" customHeight="1" x14ac:dyDescent="0.2">
      <c r="B1288" s="936"/>
      <c r="C1288" s="936"/>
      <c r="D1288" s="936"/>
      <c r="E1288" s="936"/>
      <c r="AH1288" s="983"/>
      <c r="AI1288" s="983"/>
      <c r="AJ1288" s="968"/>
      <c r="AL1288" s="937"/>
    </row>
    <row r="1289" spans="2:38" s="930" customFormat="1" ht="20.25" customHeight="1" x14ac:dyDescent="0.2">
      <c r="B1289" s="936"/>
      <c r="C1289" s="936"/>
      <c r="D1289" s="936"/>
      <c r="E1289" s="936"/>
      <c r="AH1289" s="983"/>
      <c r="AI1289" s="983"/>
      <c r="AJ1289" s="968"/>
      <c r="AL1289" s="937"/>
    </row>
    <row r="1290" spans="2:38" s="930" customFormat="1" ht="20.25" customHeight="1" x14ac:dyDescent="0.2">
      <c r="B1290" s="936"/>
      <c r="C1290" s="936"/>
      <c r="D1290" s="936"/>
      <c r="E1290" s="936"/>
      <c r="AH1290" s="983"/>
      <c r="AI1290" s="983"/>
      <c r="AJ1290" s="968"/>
      <c r="AL1290" s="937"/>
    </row>
    <row r="1291" spans="2:38" s="930" customFormat="1" ht="20.25" customHeight="1" x14ac:dyDescent="0.2">
      <c r="B1291" s="936"/>
      <c r="C1291" s="936"/>
      <c r="D1291" s="936"/>
      <c r="E1291" s="936"/>
      <c r="AH1291" s="983"/>
      <c r="AI1291" s="983"/>
      <c r="AJ1291" s="968"/>
      <c r="AL1291" s="937"/>
    </row>
    <row r="1292" spans="2:38" s="930" customFormat="1" ht="20.25" customHeight="1" x14ac:dyDescent="0.2">
      <c r="B1292" s="936"/>
      <c r="C1292" s="936"/>
      <c r="D1292" s="936"/>
      <c r="E1292" s="936"/>
      <c r="AH1292" s="983"/>
      <c r="AI1292" s="983"/>
      <c r="AJ1292" s="968"/>
      <c r="AL1292" s="937"/>
    </row>
    <row r="1293" spans="2:38" s="930" customFormat="1" ht="20.25" customHeight="1" x14ac:dyDescent="0.2">
      <c r="B1293" s="936"/>
      <c r="C1293" s="936"/>
      <c r="D1293" s="936"/>
      <c r="E1293" s="936"/>
      <c r="AH1293" s="983"/>
      <c r="AI1293" s="983"/>
      <c r="AJ1293" s="968"/>
      <c r="AL1293" s="937"/>
    </row>
    <row r="1294" spans="2:38" s="930" customFormat="1" ht="20.25" customHeight="1" x14ac:dyDescent="0.2">
      <c r="B1294" s="936"/>
      <c r="C1294" s="936"/>
      <c r="D1294" s="936"/>
      <c r="E1294" s="936"/>
      <c r="AH1294" s="983"/>
      <c r="AI1294" s="983"/>
      <c r="AJ1294" s="968"/>
      <c r="AL1294" s="937"/>
    </row>
    <row r="1295" spans="2:38" s="930" customFormat="1" ht="20.25" customHeight="1" x14ac:dyDescent="0.2">
      <c r="B1295" s="936"/>
      <c r="C1295" s="936"/>
      <c r="D1295" s="936"/>
      <c r="E1295" s="936"/>
      <c r="AH1295" s="983"/>
      <c r="AI1295" s="983"/>
      <c r="AJ1295" s="968"/>
      <c r="AL1295" s="937"/>
    </row>
    <row r="1296" spans="2:38" s="930" customFormat="1" ht="20.25" customHeight="1" x14ac:dyDescent="0.2">
      <c r="B1296" s="936"/>
      <c r="C1296" s="936"/>
      <c r="D1296" s="936"/>
      <c r="E1296" s="936"/>
      <c r="AH1296" s="983"/>
      <c r="AI1296" s="983"/>
      <c r="AJ1296" s="968"/>
      <c r="AL1296" s="937"/>
    </row>
    <row r="1297" spans="2:38" s="930" customFormat="1" ht="20.25" customHeight="1" x14ac:dyDescent="0.2">
      <c r="B1297" s="936"/>
      <c r="C1297" s="936"/>
      <c r="D1297" s="936"/>
      <c r="E1297" s="936"/>
      <c r="AH1297" s="983"/>
      <c r="AI1297" s="983"/>
      <c r="AJ1297" s="968"/>
      <c r="AL1297" s="937"/>
    </row>
    <row r="1298" spans="2:38" s="930" customFormat="1" ht="20.25" customHeight="1" x14ac:dyDescent="0.2">
      <c r="B1298" s="936"/>
      <c r="C1298" s="936"/>
      <c r="D1298" s="936"/>
      <c r="E1298" s="936"/>
      <c r="AH1298" s="983"/>
      <c r="AI1298" s="983"/>
      <c r="AJ1298" s="968"/>
      <c r="AL1298" s="937"/>
    </row>
    <row r="1299" spans="2:38" s="930" customFormat="1" ht="20.25" customHeight="1" x14ac:dyDescent="0.2">
      <c r="B1299" s="936"/>
      <c r="C1299" s="936"/>
      <c r="D1299" s="936"/>
      <c r="E1299" s="936"/>
      <c r="AH1299" s="983"/>
      <c r="AI1299" s="983"/>
      <c r="AJ1299" s="968"/>
      <c r="AL1299" s="937"/>
    </row>
    <row r="1300" spans="2:38" s="930" customFormat="1" ht="20.25" customHeight="1" x14ac:dyDescent="0.2">
      <c r="B1300" s="936"/>
      <c r="C1300" s="936"/>
      <c r="D1300" s="936"/>
      <c r="E1300" s="936"/>
      <c r="AH1300" s="983"/>
      <c r="AI1300" s="983"/>
      <c r="AJ1300" s="968"/>
      <c r="AL1300" s="937"/>
    </row>
    <row r="1301" spans="2:38" s="930" customFormat="1" ht="20.25" customHeight="1" x14ac:dyDescent="0.2">
      <c r="B1301" s="936"/>
      <c r="C1301" s="936"/>
      <c r="D1301" s="936"/>
      <c r="E1301" s="936"/>
      <c r="AH1301" s="983"/>
      <c r="AI1301" s="983"/>
      <c r="AJ1301" s="968"/>
      <c r="AL1301" s="937"/>
    </row>
    <row r="1302" spans="2:38" s="930" customFormat="1" ht="20.25" customHeight="1" x14ac:dyDescent="0.2">
      <c r="B1302" s="936"/>
      <c r="C1302" s="936"/>
      <c r="D1302" s="936"/>
      <c r="E1302" s="936"/>
      <c r="AH1302" s="983"/>
      <c r="AI1302" s="983"/>
      <c r="AJ1302" s="968"/>
      <c r="AL1302" s="937"/>
    </row>
    <row r="1303" spans="2:38" s="930" customFormat="1" ht="20.25" customHeight="1" x14ac:dyDescent="0.2">
      <c r="B1303" s="936"/>
      <c r="C1303" s="936"/>
      <c r="D1303" s="936"/>
      <c r="E1303" s="936"/>
      <c r="AH1303" s="983"/>
      <c r="AI1303" s="983"/>
      <c r="AJ1303" s="968"/>
      <c r="AL1303" s="937"/>
    </row>
    <row r="1304" spans="2:38" s="930" customFormat="1" ht="20.25" customHeight="1" x14ac:dyDescent="0.2">
      <c r="B1304" s="936"/>
      <c r="C1304" s="936"/>
      <c r="D1304" s="936"/>
      <c r="E1304" s="936"/>
      <c r="AH1304" s="983"/>
      <c r="AI1304" s="983"/>
      <c r="AJ1304" s="968"/>
      <c r="AL1304" s="937"/>
    </row>
    <row r="1305" spans="2:38" s="930" customFormat="1" ht="20.25" customHeight="1" x14ac:dyDescent="0.2">
      <c r="B1305" s="936"/>
      <c r="C1305" s="936"/>
      <c r="D1305" s="936"/>
      <c r="E1305" s="936"/>
      <c r="AH1305" s="983"/>
      <c r="AI1305" s="983"/>
      <c r="AJ1305" s="968"/>
      <c r="AL1305" s="937"/>
    </row>
    <row r="1306" spans="2:38" s="930" customFormat="1" ht="20.25" customHeight="1" x14ac:dyDescent="0.2">
      <c r="B1306" s="936"/>
      <c r="C1306" s="936"/>
      <c r="D1306" s="936"/>
      <c r="E1306" s="936"/>
      <c r="AH1306" s="983"/>
      <c r="AI1306" s="983"/>
      <c r="AJ1306" s="968"/>
      <c r="AL1306" s="937"/>
    </row>
    <row r="1307" spans="2:38" s="930" customFormat="1" ht="20.25" customHeight="1" x14ac:dyDescent="0.2">
      <c r="B1307" s="936"/>
      <c r="C1307" s="936"/>
      <c r="D1307" s="936"/>
      <c r="E1307" s="936"/>
      <c r="AH1307" s="983"/>
      <c r="AI1307" s="983"/>
      <c r="AJ1307" s="968"/>
      <c r="AL1307" s="937"/>
    </row>
    <row r="1308" spans="2:38" s="930" customFormat="1" ht="20.25" customHeight="1" x14ac:dyDescent="0.2">
      <c r="B1308" s="936"/>
      <c r="C1308" s="936"/>
      <c r="D1308" s="936"/>
      <c r="E1308" s="936"/>
      <c r="AH1308" s="983"/>
      <c r="AI1308" s="983"/>
      <c r="AJ1308" s="968"/>
      <c r="AL1308" s="937"/>
    </row>
    <row r="1309" spans="2:38" s="930" customFormat="1" ht="20.25" customHeight="1" x14ac:dyDescent="0.2">
      <c r="B1309" s="936"/>
      <c r="C1309" s="936"/>
      <c r="D1309" s="936"/>
      <c r="E1309" s="936"/>
      <c r="AH1309" s="983"/>
      <c r="AI1309" s="983"/>
      <c r="AJ1309" s="968"/>
      <c r="AL1309" s="937"/>
    </row>
    <row r="1310" spans="2:38" s="930" customFormat="1" ht="20.25" customHeight="1" x14ac:dyDescent="0.2">
      <c r="B1310" s="936"/>
      <c r="C1310" s="936"/>
      <c r="D1310" s="936"/>
      <c r="E1310" s="936"/>
      <c r="AH1310" s="983"/>
      <c r="AI1310" s="983"/>
      <c r="AJ1310" s="968"/>
      <c r="AL1310" s="937"/>
    </row>
    <row r="1311" spans="2:38" s="930" customFormat="1" ht="20.25" customHeight="1" x14ac:dyDescent="0.2">
      <c r="B1311" s="936"/>
      <c r="C1311" s="936"/>
      <c r="D1311" s="936"/>
      <c r="E1311" s="936"/>
      <c r="AH1311" s="983"/>
      <c r="AI1311" s="983"/>
      <c r="AJ1311" s="968"/>
      <c r="AL1311" s="937"/>
    </row>
    <row r="1312" spans="2:38" s="930" customFormat="1" ht="20.25" customHeight="1" x14ac:dyDescent="0.2">
      <c r="B1312" s="936"/>
      <c r="C1312" s="936"/>
      <c r="D1312" s="936"/>
      <c r="E1312" s="936"/>
      <c r="AH1312" s="983"/>
      <c r="AI1312" s="983"/>
      <c r="AJ1312" s="968"/>
      <c r="AL1312" s="937"/>
    </row>
    <row r="1313" spans="2:38" s="930" customFormat="1" ht="20.25" customHeight="1" x14ac:dyDescent="0.2">
      <c r="B1313" s="936"/>
      <c r="C1313" s="936"/>
      <c r="D1313" s="936"/>
      <c r="E1313" s="936"/>
      <c r="AH1313" s="983"/>
      <c r="AI1313" s="983"/>
      <c r="AJ1313" s="968"/>
      <c r="AL1313" s="937"/>
    </row>
    <row r="1314" spans="2:38" s="930" customFormat="1" ht="20.25" customHeight="1" x14ac:dyDescent="0.2">
      <c r="B1314" s="936"/>
      <c r="C1314" s="936"/>
      <c r="D1314" s="936"/>
      <c r="E1314" s="936"/>
      <c r="AH1314" s="983"/>
      <c r="AI1314" s="983"/>
      <c r="AJ1314" s="968"/>
      <c r="AL1314" s="937"/>
    </row>
    <row r="1315" spans="2:38" s="930" customFormat="1" ht="20.25" customHeight="1" x14ac:dyDescent="0.2">
      <c r="B1315" s="936"/>
      <c r="C1315" s="936"/>
      <c r="D1315" s="936"/>
      <c r="E1315" s="936"/>
      <c r="AH1315" s="983"/>
      <c r="AI1315" s="983"/>
      <c r="AJ1315" s="968"/>
      <c r="AL1315" s="937"/>
    </row>
    <row r="1316" spans="2:38" s="930" customFormat="1" ht="20.25" customHeight="1" x14ac:dyDescent="0.2">
      <c r="B1316" s="936"/>
      <c r="C1316" s="936"/>
      <c r="D1316" s="936"/>
      <c r="E1316" s="936"/>
      <c r="AH1316" s="983"/>
      <c r="AI1316" s="983"/>
      <c r="AJ1316" s="968"/>
      <c r="AL1316" s="937"/>
    </row>
    <row r="1317" spans="2:38" s="930" customFormat="1" ht="20.25" customHeight="1" x14ac:dyDescent="0.2">
      <c r="B1317" s="936"/>
      <c r="C1317" s="936"/>
      <c r="D1317" s="936"/>
      <c r="E1317" s="936"/>
      <c r="AH1317" s="983"/>
      <c r="AI1317" s="983"/>
      <c r="AJ1317" s="968"/>
      <c r="AL1317" s="937"/>
    </row>
    <row r="1318" spans="2:38" s="930" customFormat="1" ht="20.25" customHeight="1" x14ac:dyDescent="0.2">
      <c r="B1318" s="936"/>
      <c r="C1318" s="936"/>
      <c r="D1318" s="936"/>
      <c r="E1318" s="936"/>
      <c r="AH1318" s="983"/>
      <c r="AI1318" s="983"/>
      <c r="AJ1318" s="968"/>
      <c r="AL1318" s="937"/>
    </row>
    <row r="1319" spans="2:38" s="930" customFormat="1" ht="20.25" customHeight="1" x14ac:dyDescent="0.2">
      <c r="B1319" s="936"/>
      <c r="C1319" s="936"/>
      <c r="D1319" s="936"/>
      <c r="E1319" s="936"/>
      <c r="AH1319" s="983"/>
      <c r="AI1319" s="983"/>
      <c r="AJ1319" s="968"/>
      <c r="AL1319" s="937"/>
    </row>
    <row r="1320" spans="2:38" s="930" customFormat="1" ht="20.25" customHeight="1" x14ac:dyDescent="0.2">
      <c r="B1320" s="936"/>
      <c r="C1320" s="936"/>
      <c r="D1320" s="936"/>
      <c r="E1320" s="936"/>
      <c r="AH1320" s="983"/>
      <c r="AI1320" s="983"/>
      <c r="AJ1320" s="968"/>
      <c r="AL1320" s="937"/>
    </row>
    <row r="1321" spans="2:38" s="930" customFormat="1" ht="20.25" customHeight="1" x14ac:dyDescent="0.2">
      <c r="B1321" s="936"/>
      <c r="C1321" s="936"/>
      <c r="D1321" s="936"/>
      <c r="E1321" s="936"/>
      <c r="AH1321" s="983"/>
      <c r="AI1321" s="983"/>
      <c r="AJ1321" s="968"/>
      <c r="AL1321" s="937"/>
    </row>
    <row r="1322" spans="2:38" s="930" customFormat="1" ht="20.25" customHeight="1" x14ac:dyDescent="0.2">
      <c r="B1322" s="936"/>
      <c r="C1322" s="936"/>
      <c r="D1322" s="936"/>
      <c r="E1322" s="936"/>
      <c r="AH1322" s="983"/>
      <c r="AI1322" s="983"/>
      <c r="AJ1322" s="968"/>
      <c r="AL1322" s="937"/>
    </row>
    <row r="1323" spans="2:38" s="930" customFormat="1" ht="20.25" customHeight="1" x14ac:dyDescent="0.2">
      <c r="B1323" s="936"/>
      <c r="C1323" s="936"/>
      <c r="D1323" s="936"/>
      <c r="E1323" s="936"/>
      <c r="AH1323" s="983"/>
      <c r="AI1323" s="983"/>
      <c r="AJ1323" s="968"/>
      <c r="AL1323" s="937"/>
    </row>
    <row r="1324" spans="2:38" s="930" customFormat="1" ht="20.25" customHeight="1" x14ac:dyDescent="0.2">
      <c r="B1324" s="936"/>
      <c r="C1324" s="936"/>
      <c r="D1324" s="936"/>
      <c r="E1324" s="936"/>
      <c r="AH1324" s="983"/>
      <c r="AI1324" s="983"/>
      <c r="AJ1324" s="968"/>
      <c r="AL1324" s="937"/>
    </row>
    <row r="1325" spans="2:38" s="930" customFormat="1" ht="20.25" customHeight="1" x14ac:dyDescent="0.2">
      <c r="B1325" s="936"/>
      <c r="C1325" s="936"/>
      <c r="D1325" s="936"/>
      <c r="E1325" s="936"/>
      <c r="AH1325" s="983"/>
      <c r="AI1325" s="983"/>
      <c r="AJ1325" s="968"/>
      <c r="AL1325" s="937"/>
    </row>
    <row r="1326" spans="2:38" s="930" customFormat="1" ht="20.25" customHeight="1" x14ac:dyDescent="0.2">
      <c r="B1326" s="936"/>
      <c r="C1326" s="936"/>
      <c r="D1326" s="936"/>
      <c r="E1326" s="936"/>
      <c r="AH1326" s="983"/>
      <c r="AI1326" s="983"/>
      <c r="AJ1326" s="968"/>
      <c r="AL1326" s="937"/>
    </row>
    <row r="1327" spans="2:38" s="930" customFormat="1" ht="20.25" customHeight="1" x14ac:dyDescent="0.2">
      <c r="B1327" s="936"/>
      <c r="C1327" s="936"/>
      <c r="D1327" s="936"/>
      <c r="E1327" s="936"/>
      <c r="AH1327" s="983"/>
      <c r="AI1327" s="983"/>
      <c r="AJ1327" s="968"/>
      <c r="AL1327" s="937"/>
    </row>
    <row r="1328" spans="2:38" s="930" customFormat="1" ht="20.25" customHeight="1" x14ac:dyDescent="0.2">
      <c r="B1328" s="936"/>
      <c r="C1328" s="936"/>
      <c r="D1328" s="936"/>
      <c r="E1328" s="936"/>
      <c r="AH1328" s="983"/>
      <c r="AI1328" s="983"/>
      <c r="AJ1328" s="968"/>
      <c r="AL1328" s="937"/>
    </row>
    <row r="1329" spans="2:38" s="930" customFormat="1" ht="20.25" customHeight="1" x14ac:dyDescent="0.2">
      <c r="B1329" s="936"/>
      <c r="C1329" s="936"/>
      <c r="D1329" s="936"/>
      <c r="E1329" s="936"/>
      <c r="AH1329" s="983"/>
      <c r="AI1329" s="983"/>
      <c r="AJ1329" s="968"/>
      <c r="AL1329" s="937"/>
    </row>
    <row r="1330" spans="2:38" s="930" customFormat="1" ht="20.25" customHeight="1" x14ac:dyDescent="0.2">
      <c r="B1330" s="936"/>
      <c r="C1330" s="936"/>
      <c r="D1330" s="936"/>
      <c r="E1330" s="936"/>
      <c r="AH1330" s="983"/>
      <c r="AI1330" s="983"/>
      <c r="AJ1330" s="968"/>
      <c r="AL1330" s="937"/>
    </row>
    <row r="1331" spans="2:38" s="930" customFormat="1" ht="20.25" customHeight="1" x14ac:dyDescent="0.2">
      <c r="B1331" s="936"/>
      <c r="C1331" s="936"/>
      <c r="D1331" s="936"/>
      <c r="E1331" s="936"/>
      <c r="AH1331" s="983"/>
      <c r="AI1331" s="983"/>
      <c r="AJ1331" s="968"/>
      <c r="AL1331" s="937"/>
    </row>
    <row r="1332" spans="2:38" s="930" customFormat="1" ht="20.25" customHeight="1" x14ac:dyDescent="0.2">
      <c r="B1332" s="936"/>
      <c r="C1332" s="936"/>
      <c r="D1332" s="936"/>
      <c r="E1332" s="936"/>
      <c r="AH1332" s="983"/>
      <c r="AI1332" s="983"/>
      <c r="AJ1332" s="968"/>
      <c r="AL1332" s="937"/>
    </row>
    <row r="1333" spans="2:38" s="930" customFormat="1" ht="20.25" customHeight="1" x14ac:dyDescent="0.2">
      <c r="B1333" s="936"/>
      <c r="C1333" s="936"/>
      <c r="D1333" s="936"/>
      <c r="E1333" s="936"/>
      <c r="AH1333" s="983"/>
      <c r="AI1333" s="983"/>
      <c r="AJ1333" s="968"/>
      <c r="AL1333" s="937"/>
    </row>
    <row r="1334" spans="2:38" s="930" customFormat="1" ht="20.25" customHeight="1" x14ac:dyDescent="0.2">
      <c r="B1334" s="936"/>
      <c r="C1334" s="936"/>
      <c r="D1334" s="936"/>
      <c r="E1334" s="936"/>
      <c r="AH1334" s="983"/>
      <c r="AI1334" s="983"/>
      <c r="AJ1334" s="968"/>
      <c r="AL1334" s="937"/>
    </row>
    <row r="1335" spans="2:38" s="930" customFormat="1" ht="20.25" customHeight="1" x14ac:dyDescent="0.2">
      <c r="B1335" s="936"/>
      <c r="C1335" s="936"/>
      <c r="D1335" s="936"/>
      <c r="E1335" s="936"/>
      <c r="AH1335" s="983"/>
      <c r="AI1335" s="983"/>
      <c r="AJ1335" s="968"/>
      <c r="AL1335" s="937"/>
    </row>
    <row r="1336" spans="2:38" s="930" customFormat="1" ht="20.25" customHeight="1" x14ac:dyDescent="0.2">
      <c r="B1336" s="936"/>
      <c r="C1336" s="936"/>
      <c r="D1336" s="936"/>
      <c r="E1336" s="936"/>
      <c r="AH1336" s="983"/>
      <c r="AI1336" s="983"/>
      <c r="AJ1336" s="968"/>
      <c r="AL1336" s="937"/>
    </row>
    <row r="1337" spans="2:38" s="930" customFormat="1" ht="20.25" customHeight="1" x14ac:dyDescent="0.2">
      <c r="B1337" s="936"/>
      <c r="C1337" s="936"/>
      <c r="D1337" s="936"/>
      <c r="E1337" s="936"/>
      <c r="AH1337" s="983"/>
      <c r="AI1337" s="983"/>
      <c r="AJ1337" s="968"/>
      <c r="AL1337" s="937"/>
    </row>
    <row r="1338" spans="2:38" s="930" customFormat="1" ht="20.25" customHeight="1" x14ac:dyDescent="0.2">
      <c r="B1338" s="936"/>
      <c r="C1338" s="936"/>
      <c r="D1338" s="936"/>
      <c r="E1338" s="936"/>
      <c r="AH1338" s="983"/>
      <c r="AI1338" s="983"/>
      <c r="AJ1338" s="968"/>
      <c r="AL1338" s="937"/>
    </row>
    <row r="1339" spans="2:38" s="930" customFormat="1" ht="20.25" customHeight="1" x14ac:dyDescent="0.2">
      <c r="B1339" s="936"/>
      <c r="C1339" s="936"/>
      <c r="D1339" s="936"/>
      <c r="E1339" s="936"/>
      <c r="AH1339" s="983"/>
      <c r="AI1339" s="983"/>
      <c r="AJ1339" s="968"/>
      <c r="AL1339" s="937"/>
    </row>
    <row r="1340" spans="2:38" s="930" customFormat="1" ht="20.25" customHeight="1" x14ac:dyDescent="0.2">
      <c r="B1340" s="936"/>
      <c r="C1340" s="936"/>
      <c r="D1340" s="936"/>
      <c r="E1340" s="936"/>
      <c r="AH1340" s="983"/>
      <c r="AI1340" s="983"/>
      <c r="AJ1340" s="968"/>
      <c r="AL1340" s="937"/>
    </row>
    <row r="1341" spans="2:38" s="930" customFormat="1" ht="20.25" customHeight="1" x14ac:dyDescent="0.2">
      <c r="B1341" s="936"/>
      <c r="C1341" s="936"/>
      <c r="D1341" s="936"/>
      <c r="E1341" s="936"/>
      <c r="AH1341" s="983"/>
      <c r="AI1341" s="983"/>
      <c r="AJ1341" s="968"/>
      <c r="AL1341" s="937"/>
    </row>
    <row r="1342" spans="2:38" s="930" customFormat="1" ht="20.25" customHeight="1" x14ac:dyDescent="0.2">
      <c r="B1342" s="936"/>
      <c r="C1342" s="936"/>
      <c r="D1342" s="936"/>
      <c r="E1342" s="936"/>
      <c r="AH1342" s="983"/>
      <c r="AI1342" s="983"/>
      <c r="AJ1342" s="968"/>
      <c r="AL1342" s="937"/>
    </row>
    <row r="1343" spans="2:38" s="930" customFormat="1" ht="20.25" customHeight="1" x14ac:dyDescent="0.2">
      <c r="B1343" s="936"/>
      <c r="C1343" s="936"/>
      <c r="D1343" s="936"/>
      <c r="E1343" s="936"/>
      <c r="AH1343" s="983"/>
      <c r="AI1343" s="983"/>
      <c r="AJ1343" s="968"/>
      <c r="AL1343" s="937"/>
    </row>
    <row r="1344" spans="2:38" s="930" customFormat="1" ht="20.25" customHeight="1" x14ac:dyDescent="0.2">
      <c r="B1344" s="936"/>
      <c r="C1344" s="936"/>
      <c r="D1344" s="936"/>
      <c r="E1344" s="936"/>
      <c r="AH1344" s="983"/>
      <c r="AI1344" s="983"/>
      <c r="AJ1344" s="968"/>
      <c r="AL1344" s="937"/>
    </row>
    <row r="1345" spans="2:38" s="930" customFormat="1" ht="20.25" customHeight="1" x14ac:dyDescent="0.2">
      <c r="B1345" s="936"/>
      <c r="C1345" s="936"/>
      <c r="D1345" s="936"/>
      <c r="E1345" s="936"/>
      <c r="AH1345" s="983"/>
      <c r="AI1345" s="983"/>
      <c r="AJ1345" s="968"/>
      <c r="AL1345" s="937"/>
    </row>
    <row r="1346" spans="2:38" s="930" customFormat="1" ht="20.25" customHeight="1" x14ac:dyDescent="0.2">
      <c r="B1346" s="936"/>
      <c r="C1346" s="936"/>
      <c r="D1346" s="936"/>
      <c r="E1346" s="936"/>
      <c r="AH1346" s="983"/>
      <c r="AI1346" s="983"/>
      <c r="AJ1346" s="968"/>
      <c r="AL1346" s="937"/>
    </row>
    <row r="1347" spans="2:38" s="930" customFormat="1" ht="20.25" customHeight="1" x14ac:dyDescent="0.2">
      <c r="B1347" s="936"/>
      <c r="C1347" s="936"/>
      <c r="D1347" s="936"/>
      <c r="E1347" s="936"/>
      <c r="AH1347" s="983"/>
      <c r="AI1347" s="983"/>
      <c r="AJ1347" s="968"/>
      <c r="AL1347" s="937"/>
    </row>
    <row r="1348" spans="2:38" s="930" customFormat="1" ht="20.25" customHeight="1" x14ac:dyDescent="0.2">
      <c r="B1348" s="936"/>
      <c r="C1348" s="936"/>
      <c r="D1348" s="936"/>
      <c r="E1348" s="936"/>
      <c r="AH1348" s="983"/>
      <c r="AI1348" s="983"/>
      <c r="AJ1348" s="968"/>
      <c r="AL1348" s="937"/>
    </row>
    <row r="1349" spans="2:38" s="930" customFormat="1" ht="20.25" customHeight="1" x14ac:dyDescent="0.2">
      <c r="B1349" s="936"/>
      <c r="C1349" s="936"/>
      <c r="D1349" s="936"/>
      <c r="E1349" s="936"/>
      <c r="AH1349" s="983"/>
      <c r="AI1349" s="983"/>
      <c r="AJ1349" s="968"/>
      <c r="AL1349" s="937"/>
    </row>
    <row r="1350" spans="2:38" s="930" customFormat="1" ht="20.25" customHeight="1" x14ac:dyDescent="0.2">
      <c r="B1350" s="936"/>
      <c r="C1350" s="936"/>
      <c r="D1350" s="936"/>
      <c r="E1350" s="936"/>
      <c r="AH1350" s="983"/>
      <c r="AI1350" s="983"/>
      <c r="AJ1350" s="968"/>
      <c r="AL1350" s="937"/>
    </row>
    <row r="1351" spans="2:38" s="930" customFormat="1" ht="20.25" customHeight="1" x14ac:dyDescent="0.2">
      <c r="B1351" s="936"/>
      <c r="C1351" s="936"/>
      <c r="D1351" s="936"/>
      <c r="E1351" s="936"/>
      <c r="AH1351" s="983"/>
      <c r="AI1351" s="983"/>
      <c r="AJ1351" s="968"/>
      <c r="AL1351" s="937"/>
    </row>
    <row r="1352" spans="2:38" s="930" customFormat="1" ht="20.25" customHeight="1" x14ac:dyDescent="0.2">
      <c r="B1352" s="936"/>
      <c r="C1352" s="936"/>
      <c r="D1352" s="936"/>
      <c r="E1352" s="936"/>
      <c r="AH1352" s="983"/>
      <c r="AI1352" s="983"/>
      <c r="AJ1352" s="968"/>
      <c r="AL1352" s="937"/>
    </row>
    <row r="1353" spans="2:38" s="930" customFormat="1" ht="20.25" customHeight="1" x14ac:dyDescent="0.2">
      <c r="B1353" s="936"/>
      <c r="C1353" s="936"/>
      <c r="D1353" s="936"/>
      <c r="E1353" s="936"/>
      <c r="AH1353" s="983"/>
      <c r="AI1353" s="983"/>
      <c r="AJ1353" s="968"/>
      <c r="AL1353" s="937"/>
    </row>
    <row r="1354" spans="2:38" s="930" customFormat="1" ht="20.25" customHeight="1" x14ac:dyDescent="0.2">
      <c r="B1354" s="936"/>
      <c r="C1354" s="936"/>
      <c r="D1354" s="936"/>
      <c r="E1354" s="936"/>
      <c r="AH1354" s="983"/>
      <c r="AI1354" s="983"/>
      <c r="AJ1354" s="968"/>
      <c r="AL1354" s="937"/>
    </row>
    <row r="1355" spans="2:38" s="930" customFormat="1" ht="20.25" customHeight="1" x14ac:dyDescent="0.2">
      <c r="B1355" s="936"/>
      <c r="C1355" s="936"/>
      <c r="D1355" s="936"/>
      <c r="E1355" s="936"/>
      <c r="AH1355" s="983"/>
      <c r="AI1355" s="983"/>
      <c r="AJ1355" s="968"/>
      <c r="AL1355" s="937"/>
    </row>
    <row r="1356" spans="2:38" s="930" customFormat="1" ht="20.25" customHeight="1" x14ac:dyDescent="0.2">
      <c r="B1356" s="936"/>
      <c r="C1356" s="936"/>
      <c r="D1356" s="936"/>
      <c r="E1356" s="936"/>
      <c r="AH1356" s="983"/>
      <c r="AI1356" s="983"/>
      <c r="AJ1356" s="968"/>
      <c r="AL1356" s="937"/>
    </row>
    <row r="1357" spans="2:38" s="930" customFormat="1" ht="20.25" customHeight="1" x14ac:dyDescent="0.2">
      <c r="B1357" s="936"/>
      <c r="C1357" s="936"/>
      <c r="D1357" s="936"/>
      <c r="E1357" s="936"/>
      <c r="AH1357" s="983"/>
      <c r="AI1357" s="983"/>
      <c r="AJ1357" s="968"/>
      <c r="AL1357" s="937"/>
    </row>
    <row r="1358" spans="2:38" s="930" customFormat="1" ht="20.25" customHeight="1" x14ac:dyDescent="0.2">
      <c r="B1358" s="936"/>
      <c r="C1358" s="936"/>
      <c r="D1358" s="936"/>
      <c r="E1358" s="936"/>
      <c r="AH1358" s="983"/>
      <c r="AI1358" s="983"/>
      <c r="AJ1358" s="968"/>
      <c r="AL1358" s="937"/>
    </row>
    <row r="1359" spans="2:38" s="930" customFormat="1" ht="20.25" customHeight="1" x14ac:dyDescent="0.2">
      <c r="B1359" s="936"/>
      <c r="C1359" s="936"/>
      <c r="D1359" s="936"/>
      <c r="E1359" s="936"/>
      <c r="AH1359" s="983"/>
      <c r="AI1359" s="983"/>
      <c r="AJ1359" s="968"/>
      <c r="AL1359" s="937"/>
    </row>
    <row r="1360" spans="2:38" s="930" customFormat="1" ht="20.25" customHeight="1" x14ac:dyDescent="0.2">
      <c r="B1360" s="936"/>
      <c r="C1360" s="936"/>
      <c r="D1360" s="936"/>
      <c r="E1360" s="936"/>
      <c r="AH1360" s="983"/>
      <c r="AI1360" s="983"/>
      <c r="AJ1360" s="968"/>
      <c r="AL1360" s="937"/>
    </row>
    <row r="1361" spans="2:38" s="930" customFormat="1" ht="20.25" customHeight="1" x14ac:dyDescent="0.2">
      <c r="B1361" s="936"/>
      <c r="C1361" s="936"/>
      <c r="D1361" s="936"/>
      <c r="E1361" s="936"/>
      <c r="AH1361" s="983"/>
      <c r="AI1361" s="983"/>
      <c r="AJ1361" s="968"/>
      <c r="AL1361" s="937"/>
    </row>
    <row r="1362" spans="2:38" s="930" customFormat="1" ht="20.25" customHeight="1" x14ac:dyDescent="0.2">
      <c r="B1362" s="936"/>
      <c r="C1362" s="936"/>
      <c r="D1362" s="936"/>
      <c r="E1362" s="936"/>
      <c r="AH1362" s="983"/>
      <c r="AI1362" s="983"/>
      <c r="AJ1362" s="968"/>
      <c r="AL1362" s="937"/>
    </row>
    <row r="1363" spans="2:38" s="930" customFormat="1" ht="20.25" customHeight="1" x14ac:dyDescent="0.2">
      <c r="B1363" s="936"/>
      <c r="C1363" s="936"/>
      <c r="D1363" s="936"/>
      <c r="E1363" s="936"/>
      <c r="AH1363" s="983"/>
      <c r="AI1363" s="983"/>
      <c r="AJ1363" s="968"/>
      <c r="AL1363" s="937"/>
    </row>
    <row r="1364" spans="2:38" s="930" customFormat="1" ht="20.25" customHeight="1" x14ac:dyDescent="0.2">
      <c r="B1364" s="936"/>
      <c r="C1364" s="936"/>
      <c r="D1364" s="936"/>
      <c r="E1364" s="936"/>
      <c r="AH1364" s="983"/>
      <c r="AI1364" s="983"/>
      <c r="AJ1364" s="968"/>
      <c r="AL1364" s="937"/>
    </row>
    <row r="1365" spans="2:38" s="930" customFormat="1" ht="20.25" customHeight="1" x14ac:dyDescent="0.2">
      <c r="B1365" s="936"/>
      <c r="C1365" s="936"/>
      <c r="D1365" s="936"/>
      <c r="E1365" s="936"/>
      <c r="AH1365" s="983"/>
      <c r="AI1365" s="983"/>
      <c r="AJ1365" s="968"/>
      <c r="AL1365" s="937"/>
    </row>
    <row r="1366" spans="2:38" s="930" customFormat="1" ht="20.25" customHeight="1" x14ac:dyDescent="0.2">
      <c r="B1366" s="936"/>
      <c r="C1366" s="936"/>
      <c r="D1366" s="936"/>
      <c r="E1366" s="936"/>
      <c r="AH1366" s="983"/>
      <c r="AI1366" s="983"/>
      <c r="AJ1366" s="968"/>
      <c r="AL1366" s="937"/>
    </row>
    <row r="1367" spans="2:38" s="930" customFormat="1" ht="20.25" customHeight="1" x14ac:dyDescent="0.2">
      <c r="B1367" s="936"/>
      <c r="C1367" s="936"/>
      <c r="D1367" s="936"/>
      <c r="E1367" s="936"/>
      <c r="AH1367" s="983"/>
      <c r="AI1367" s="983"/>
      <c r="AJ1367" s="968"/>
      <c r="AL1367" s="937"/>
    </row>
    <row r="1368" spans="2:38" s="930" customFormat="1" ht="20.25" customHeight="1" x14ac:dyDescent="0.2">
      <c r="B1368" s="936"/>
      <c r="C1368" s="936"/>
      <c r="D1368" s="936"/>
      <c r="E1368" s="936"/>
      <c r="AH1368" s="983"/>
      <c r="AI1368" s="983"/>
      <c r="AJ1368" s="968"/>
      <c r="AL1368" s="937"/>
    </row>
    <row r="1369" spans="2:38" s="930" customFormat="1" ht="20.25" customHeight="1" x14ac:dyDescent="0.2">
      <c r="B1369" s="936"/>
      <c r="C1369" s="936"/>
      <c r="D1369" s="936"/>
      <c r="E1369" s="936"/>
      <c r="AH1369" s="983"/>
      <c r="AI1369" s="983"/>
      <c r="AJ1369" s="968"/>
      <c r="AL1369" s="937"/>
    </row>
    <row r="1370" spans="2:38" s="930" customFormat="1" ht="20.25" customHeight="1" x14ac:dyDescent="0.2">
      <c r="B1370" s="936"/>
      <c r="C1370" s="936"/>
      <c r="D1370" s="936"/>
      <c r="E1370" s="936"/>
      <c r="AH1370" s="983"/>
      <c r="AI1370" s="983"/>
      <c r="AJ1370" s="968"/>
      <c r="AL1370" s="937"/>
    </row>
    <row r="1371" spans="2:38" s="930" customFormat="1" ht="20.25" customHeight="1" x14ac:dyDescent="0.2">
      <c r="B1371" s="936"/>
      <c r="C1371" s="936"/>
      <c r="D1371" s="936"/>
      <c r="E1371" s="936"/>
      <c r="AH1371" s="983"/>
      <c r="AI1371" s="983"/>
      <c r="AJ1371" s="968"/>
      <c r="AL1371" s="937"/>
    </row>
    <row r="1372" spans="2:38" s="930" customFormat="1" ht="20.25" customHeight="1" x14ac:dyDescent="0.2">
      <c r="B1372" s="936"/>
      <c r="C1372" s="936"/>
      <c r="D1372" s="936"/>
      <c r="E1372" s="936"/>
      <c r="AH1372" s="983"/>
      <c r="AI1372" s="983"/>
      <c r="AJ1372" s="968"/>
      <c r="AL1372" s="937"/>
    </row>
    <row r="1373" spans="2:38" s="930" customFormat="1" ht="20.25" customHeight="1" x14ac:dyDescent="0.2">
      <c r="B1373" s="936"/>
      <c r="C1373" s="936"/>
      <c r="D1373" s="936"/>
      <c r="E1373" s="936"/>
      <c r="AH1373" s="983"/>
      <c r="AI1373" s="983"/>
      <c r="AJ1373" s="968"/>
      <c r="AL1373" s="937"/>
    </row>
    <row r="1374" spans="2:38" s="930" customFormat="1" ht="20.25" customHeight="1" x14ac:dyDescent="0.2">
      <c r="B1374" s="936"/>
      <c r="C1374" s="936"/>
      <c r="D1374" s="936"/>
      <c r="E1374" s="936"/>
      <c r="AH1374" s="983"/>
      <c r="AI1374" s="983"/>
      <c r="AJ1374" s="968"/>
      <c r="AL1374" s="937"/>
    </row>
    <row r="1375" spans="2:38" s="930" customFormat="1" ht="20.25" customHeight="1" x14ac:dyDescent="0.2">
      <c r="B1375" s="936"/>
      <c r="C1375" s="936"/>
      <c r="D1375" s="936"/>
      <c r="E1375" s="936"/>
      <c r="AH1375" s="983"/>
      <c r="AI1375" s="983"/>
      <c r="AJ1375" s="968"/>
      <c r="AL1375" s="937"/>
    </row>
    <row r="1376" spans="2:38" s="930" customFormat="1" ht="20.25" customHeight="1" x14ac:dyDescent="0.2">
      <c r="B1376" s="936"/>
      <c r="C1376" s="936"/>
      <c r="D1376" s="936"/>
      <c r="E1376" s="936"/>
      <c r="AH1376" s="983"/>
      <c r="AI1376" s="983"/>
      <c r="AJ1376" s="968"/>
      <c r="AL1376" s="937"/>
    </row>
    <row r="1377" spans="2:38" s="930" customFormat="1" ht="20.25" customHeight="1" x14ac:dyDescent="0.2">
      <c r="B1377" s="936"/>
      <c r="C1377" s="936"/>
      <c r="D1377" s="936"/>
      <c r="E1377" s="936"/>
      <c r="AH1377" s="983"/>
      <c r="AI1377" s="983"/>
      <c r="AJ1377" s="968"/>
      <c r="AL1377" s="937"/>
    </row>
    <row r="1378" spans="2:38" s="930" customFormat="1" ht="20.25" customHeight="1" x14ac:dyDescent="0.2">
      <c r="B1378" s="936"/>
      <c r="C1378" s="936"/>
      <c r="D1378" s="936"/>
      <c r="E1378" s="936"/>
      <c r="AH1378" s="983"/>
      <c r="AI1378" s="983"/>
      <c r="AJ1378" s="968"/>
      <c r="AL1378" s="937"/>
    </row>
    <row r="1379" spans="2:38" s="930" customFormat="1" ht="20.25" customHeight="1" x14ac:dyDescent="0.2">
      <c r="B1379" s="936"/>
      <c r="C1379" s="936"/>
      <c r="D1379" s="936"/>
      <c r="E1379" s="936"/>
      <c r="AH1379" s="983"/>
      <c r="AI1379" s="983"/>
      <c r="AJ1379" s="968"/>
      <c r="AL1379" s="937"/>
    </row>
    <row r="1380" spans="2:38" s="930" customFormat="1" ht="20.25" customHeight="1" x14ac:dyDescent="0.2">
      <c r="B1380" s="936"/>
      <c r="C1380" s="936"/>
      <c r="D1380" s="936"/>
      <c r="E1380" s="936"/>
      <c r="AH1380" s="983"/>
      <c r="AI1380" s="983"/>
      <c r="AJ1380" s="968"/>
      <c r="AL1380" s="937"/>
    </row>
    <row r="1381" spans="2:38" s="930" customFormat="1" ht="20.25" customHeight="1" x14ac:dyDescent="0.2">
      <c r="B1381" s="936"/>
      <c r="C1381" s="936"/>
      <c r="D1381" s="936"/>
      <c r="E1381" s="936"/>
      <c r="AH1381" s="983"/>
      <c r="AI1381" s="983"/>
      <c r="AJ1381" s="968"/>
      <c r="AL1381" s="937"/>
    </row>
    <row r="1382" spans="2:38" s="930" customFormat="1" ht="20.25" customHeight="1" x14ac:dyDescent="0.2">
      <c r="B1382" s="936"/>
      <c r="C1382" s="936"/>
      <c r="D1382" s="936"/>
      <c r="E1382" s="936"/>
      <c r="AH1382" s="983"/>
      <c r="AI1382" s="983"/>
      <c r="AJ1382" s="968"/>
      <c r="AL1382" s="937"/>
    </row>
    <row r="1383" spans="2:38" s="930" customFormat="1" ht="20.25" customHeight="1" x14ac:dyDescent="0.2">
      <c r="B1383" s="936"/>
      <c r="C1383" s="936"/>
      <c r="D1383" s="936"/>
      <c r="E1383" s="936"/>
      <c r="AH1383" s="983"/>
      <c r="AI1383" s="983"/>
      <c r="AJ1383" s="968"/>
      <c r="AL1383" s="937"/>
    </row>
    <row r="1384" spans="2:38" s="930" customFormat="1" ht="20.25" customHeight="1" x14ac:dyDescent="0.2">
      <c r="B1384" s="936"/>
      <c r="C1384" s="936"/>
      <c r="D1384" s="936"/>
      <c r="E1384" s="936"/>
      <c r="AH1384" s="983"/>
      <c r="AI1384" s="983"/>
      <c r="AJ1384" s="968"/>
      <c r="AL1384" s="937"/>
    </row>
    <row r="1385" spans="2:38" s="930" customFormat="1" ht="20.25" customHeight="1" x14ac:dyDescent="0.2">
      <c r="B1385" s="936"/>
      <c r="C1385" s="936"/>
      <c r="D1385" s="936"/>
      <c r="E1385" s="936"/>
      <c r="AH1385" s="983"/>
      <c r="AI1385" s="983"/>
      <c r="AJ1385" s="968"/>
      <c r="AL1385" s="937"/>
    </row>
    <row r="1386" spans="2:38" s="930" customFormat="1" ht="20.25" customHeight="1" x14ac:dyDescent="0.2">
      <c r="B1386" s="936"/>
      <c r="C1386" s="936"/>
      <c r="D1386" s="936"/>
      <c r="E1386" s="936"/>
      <c r="AH1386" s="983"/>
      <c r="AI1386" s="983"/>
      <c r="AJ1386" s="968"/>
      <c r="AL1386" s="937"/>
    </row>
    <row r="1387" spans="2:38" s="930" customFormat="1" ht="20.25" customHeight="1" x14ac:dyDescent="0.2">
      <c r="B1387" s="936"/>
      <c r="C1387" s="936"/>
      <c r="D1387" s="936"/>
      <c r="E1387" s="936"/>
      <c r="AH1387" s="983"/>
      <c r="AI1387" s="983"/>
      <c r="AJ1387" s="968"/>
      <c r="AL1387" s="937"/>
    </row>
    <row r="1388" spans="2:38" s="930" customFormat="1" ht="20.25" customHeight="1" x14ac:dyDescent="0.2">
      <c r="B1388" s="936"/>
      <c r="C1388" s="936"/>
      <c r="D1388" s="936"/>
      <c r="E1388" s="936"/>
      <c r="AH1388" s="983"/>
      <c r="AI1388" s="983"/>
      <c r="AJ1388" s="968"/>
      <c r="AL1388" s="937"/>
    </row>
    <row r="1389" spans="2:38" s="930" customFormat="1" ht="20.25" customHeight="1" x14ac:dyDescent="0.2">
      <c r="B1389" s="936"/>
      <c r="C1389" s="936"/>
      <c r="D1389" s="936"/>
      <c r="E1389" s="936"/>
      <c r="AH1389" s="983"/>
      <c r="AI1389" s="983"/>
      <c r="AJ1389" s="968"/>
      <c r="AL1389" s="937"/>
    </row>
    <row r="1390" spans="2:38" s="930" customFormat="1" ht="20.25" customHeight="1" x14ac:dyDescent="0.2">
      <c r="B1390" s="936"/>
      <c r="C1390" s="936"/>
      <c r="D1390" s="936"/>
      <c r="E1390" s="936"/>
      <c r="AH1390" s="983"/>
      <c r="AI1390" s="983"/>
      <c r="AJ1390" s="968"/>
      <c r="AL1390" s="937"/>
    </row>
    <row r="1391" spans="2:38" s="930" customFormat="1" ht="20.25" customHeight="1" x14ac:dyDescent="0.2">
      <c r="B1391" s="936"/>
      <c r="C1391" s="936"/>
      <c r="D1391" s="936"/>
      <c r="E1391" s="936"/>
      <c r="AH1391" s="983"/>
      <c r="AI1391" s="983"/>
      <c r="AJ1391" s="968"/>
      <c r="AL1391" s="937"/>
    </row>
    <row r="1392" spans="2:38" s="930" customFormat="1" ht="20.25" customHeight="1" x14ac:dyDescent="0.2">
      <c r="B1392" s="936"/>
      <c r="C1392" s="936"/>
      <c r="D1392" s="936"/>
      <c r="E1392" s="936"/>
      <c r="AH1392" s="983"/>
      <c r="AI1392" s="983"/>
      <c r="AJ1392" s="968"/>
      <c r="AL1392" s="937"/>
    </row>
    <row r="1393" spans="2:38" s="930" customFormat="1" ht="20.25" customHeight="1" x14ac:dyDescent="0.2">
      <c r="B1393" s="936"/>
      <c r="C1393" s="936"/>
      <c r="D1393" s="936"/>
      <c r="E1393" s="936"/>
      <c r="AH1393" s="983"/>
      <c r="AI1393" s="983"/>
      <c r="AJ1393" s="968"/>
      <c r="AL1393" s="937"/>
    </row>
    <row r="1394" spans="2:38" s="930" customFormat="1" ht="20.25" customHeight="1" x14ac:dyDescent="0.2">
      <c r="B1394" s="936"/>
      <c r="C1394" s="936"/>
      <c r="D1394" s="936"/>
      <c r="E1394" s="936"/>
      <c r="AH1394" s="983"/>
      <c r="AI1394" s="983"/>
      <c r="AJ1394" s="968"/>
      <c r="AL1394" s="937"/>
    </row>
    <row r="1395" spans="2:38" s="930" customFormat="1" ht="20.25" customHeight="1" x14ac:dyDescent="0.2">
      <c r="B1395" s="936"/>
      <c r="C1395" s="936"/>
      <c r="D1395" s="936"/>
      <c r="E1395" s="936"/>
      <c r="AH1395" s="983"/>
      <c r="AI1395" s="983"/>
      <c r="AJ1395" s="968"/>
      <c r="AL1395" s="937"/>
    </row>
    <row r="1396" spans="2:38" s="930" customFormat="1" ht="20.25" customHeight="1" x14ac:dyDescent="0.2">
      <c r="B1396" s="936"/>
      <c r="C1396" s="936"/>
      <c r="D1396" s="936"/>
      <c r="E1396" s="936"/>
      <c r="AH1396" s="983"/>
      <c r="AI1396" s="983"/>
      <c r="AJ1396" s="968"/>
      <c r="AL1396" s="937"/>
    </row>
    <row r="1397" spans="2:38" s="930" customFormat="1" ht="20.25" customHeight="1" x14ac:dyDescent="0.2">
      <c r="B1397" s="936"/>
      <c r="C1397" s="936"/>
      <c r="D1397" s="936"/>
      <c r="E1397" s="936"/>
      <c r="AH1397" s="983"/>
      <c r="AI1397" s="983"/>
      <c r="AJ1397" s="968"/>
      <c r="AL1397" s="937"/>
    </row>
    <row r="1398" spans="2:38" s="930" customFormat="1" ht="20.25" customHeight="1" x14ac:dyDescent="0.2">
      <c r="B1398" s="936"/>
      <c r="C1398" s="936"/>
      <c r="D1398" s="936"/>
      <c r="E1398" s="936"/>
      <c r="AH1398" s="983"/>
      <c r="AI1398" s="983"/>
      <c r="AJ1398" s="968"/>
      <c r="AL1398" s="937"/>
    </row>
    <row r="1399" spans="2:38" s="930" customFormat="1" ht="20.25" customHeight="1" x14ac:dyDescent="0.2">
      <c r="B1399" s="936"/>
      <c r="C1399" s="936"/>
      <c r="D1399" s="936"/>
      <c r="E1399" s="936"/>
      <c r="AH1399" s="983"/>
      <c r="AI1399" s="983"/>
      <c r="AJ1399" s="968"/>
      <c r="AL1399" s="937"/>
    </row>
    <row r="1400" spans="2:38" s="930" customFormat="1" ht="20.25" customHeight="1" x14ac:dyDescent="0.2">
      <c r="B1400" s="936"/>
      <c r="C1400" s="936"/>
      <c r="D1400" s="936"/>
      <c r="E1400" s="936"/>
      <c r="AH1400" s="983"/>
      <c r="AI1400" s="983"/>
      <c r="AJ1400" s="968"/>
      <c r="AL1400" s="937"/>
    </row>
    <row r="1401" spans="2:38" s="930" customFormat="1" ht="20.25" customHeight="1" x14ac:dyDescent="0.2">
      <c r="B1401" s="936"/>
      <c r="C1401" s="936"/>
      <c r="D1401" s="936"/>
      <c r="E1401" s="936"/>
      <c r="AH1401" s="983"/>
      <c r="AI1401" s="983"/>
      <c r="AJ1401" s="968"/>
      <c r="AL1401" s="937"/>
    </row>
    <row r="1402" spans="2:38" s="930" customFormat="1" ht="20.25" customHeight="1" x14ac:dyDescent="0.2">
      <c r="B1402" s="936"/>
      <c r="C1402" s="936"/>
      <c r="D1402" s="936"/>
      <c r="E1402" s="936"/>
      <c r="AH1402" s="983"/>
      <c r="AI1402" s="983"/>
      <c r="AJ1402" s="968"/>
      <c r="AL1402" s="937"/>
    </row>
    <row r="1403" spans="2:38" s="930" customFormat="1" ht="20.25" customHeight="1" x14ac:dyDescent="0.2">
      <c r="B1403" s="936"/>
      <c r="C1403" s="936"/>
      <c r="D1403" s="936"/>
      <c r="E1403" s="936"/>
      <c r="AH1403" s="983"/>
      <c r="AI1403" s="983"/>
      <c r="AJ1403" s="968"/>
      <c r="AL1403" s="937"/>
    </row>
    <row r="1404" spans="2:38" s="930" customFormat="1" ht="20.25" customHeight="1" x14ac:dyDescent="0.2">
      <c r="B1404" s="936"/>
      <c r="C1404" s="936"/>
      <c r="D1404" s="936"/>
      <c r="E1404" s="936"/>
      <c r="AH1404" s="983"/>
      <c r="AI1404" s="983"/>
      <c r="AJ1404" s="968"/>
      <c r="AL1404" s="937"/>
    </row>
    <row r="1405" spans="2:38" s="930" customFormat="1" ht="20.25" customHeight="1" x14ac:dyDescent="0.2">
      <c r="B1405" s="936"/>
      <c r="C1405" s="936"/>
      <c r="D1405" s="936"/>
      <c r="E1405" s="936"/>
      <c r="AH1405" s="983"/>
      <c r="AI1405" s="983"/>
      <c r="AJ1405" s="968"/>
      <c r="AL1405" s="937"/>
    </row>
    <row r="1406" spans="2:38" s="930" customFormat="1" ht="20.25" customHeight="1" x14ac:dyDescent="0.2">
      <c r="B1406" s="936"/>
      <c r="C1406" s="936"/>
      <c r="D1406" s="936"/>
      <c r="E1406" s="936"/>
      <c r="AH1406" s="983"/>
      <c r="AI1406" s="983"/>
      <c r="AJ1406" s="968"/>
      <c r="AL1406" s="937"/>
    </row>
    <row r="1407" spans="2:38" s="930" customFormat="1" ht="20.25" customHeight="1" x14ac:dyDescent="0.2">
      <c r="B1407" s="936"/>
      <c r="C1407" s="936"/>
      <c r="D1407" s="936"/>
      <c r="E1407" s="936"/>
      <c r="AH1407" s="983"/>
      <c r="AI1407" s="983"/>
      <c r="AJ1407" s="968"/>
      <c r="AL1407" s="937"/>
    </row>
    <row r="1408" spans="2:38" s="930" customFormat="1" ht="20.25" customHeight="1" x14ac:dyDescent="0.2">
      <c r="B1408" s="936"/>
      <c r="C1408" s="936"/>
      <c r="D1408" s="936"/>
      <c r="E1408" s="936"/>
      <c r="AH1408" s="983"/>
      <c r="AI1408" s="983"/>
      <c r="AJ1408" s="968"/>
      <c r="AL1408" s="937"/>
    </row>
    <row r="1409" spans="2:38" s="930" customFormat="1" ht="20.25" customHeight="1" x14ac:dyDescent="0.2">
      <c r="B1409" s="936"/>
      <c r="C1409" s="936"/>
      <c r="D1409" s="936"/>
      <c r="E1409" s="936"/>
      <c r="AH1409" s="983"/>
      <c r="AI1409" s="983"/>
      <c r="AJ1409" s="968"/>
      <c r="AL1409" s="937"/>
    </row>
    <row r="1410" spans="2:38" s="930" customFormat="1" ht="20.25" customHeight="1" x14ac:dyDescent="0.2">
      <c r="B1410" s="936"/>
      <c r="C1410" s="936"/>
      <c r="D1410" s="936"/>
      <c r="E1410" s="936"/>
      <c r="AH1410" s="983"/>
      <c r="AI1410" s="983"/>
      <c r="AJ1410" s="968"/>
      <c r="AL1410" s="937"/>
    </row>
    <row r="1411" spans="2:38" s="930" customFormat="1" ht="20.25" customHeight="1" x14ac:dyDescent="0.2">
      <c r="B1411" s="936"/>
      <c r="C1411" s="936"/>
      <c r="D1411" s="936"/>
      <c r="E1411" s="936"/>
      <c r="AH1411" s="983"/>
      <c r="AI1411" s="983"/>
      <c r="AJ1411" s="968"/>
      <c r="AL1411" s="937"/>
    </row>
    <row r="1412" spans="2:38" s="930" customFormat="1" ht="20.25" customHeight="1" x14ac:dyDescent="0.2">
      <c r="B1412" s="936"/>
      <c r="C1412" s="936"/>
      <c r="D1412" s="936"/>
      <c r="E1412" s="936"/>
      <c r="AH1412" s="983"/>
      <c r="AI1412" s="983"/>
      <c r="AJ1412" s="968"/>
      <c r="AL1412" s="937"/>
    </row>
    <row r="1413" spans="2:38" s="930" customFormat="1" ht="20.25" customHeight="1" x14ac:dyDescent="0.2">
      <c r="B1413" s="936"/>
      <c r="C1413" s="936"/>
      <c r="D1413" s="936"/>
      <c r="E1413" s="936"/>
      <c r="AH1413" s="983"/>
      <c r="AI1413" s="983"/>
      <c r="AJ1413" s="968"/>
      <c r="AL1413" s="937"/>
    </row>
    <row r="1414" spans="2:38" s="930" customFormat="1" ht="20.25" customHeight="1" x14ac:dyDescent="0.2">
      <c r="B1414" s="936"/>
      <c r="C1414" s="936"/>
      <c r="D1414" s="936"/>
      <c r="E1414" s="936"/>
      <c r="AH1414" s="983"/>
      <c r="AI1414" s="983"/>
      <c r="AJ1414" s="968"/>
      <c r="AL1414" s="937"/>
    </row>
    <row r="1415" spans="2:38" s="930" customFormat="1" ht="20.25" customHeight="1" x14ac:dyDescent="0.2">
      <c r="B1415" s="936"/>
      <c r="C1415" s="936"/>
      <c r="D1415" s="936"/>
      <c r="E1415" s="936"/>
      <c r="AH1415" s="983"/>
      <c r="AI1415" s="983"/>
      <c r="AJ1415" s="968"/>
      <c r="AL1415" s="937"/>
    </row>
    <row r="1416" spans="2:38" s="930" customFormat="1" ht="20.25" customHeight="1" x14ac:dyDescent="0.2">
      <c r="B1416" s="936"/>
      <c r="C1416" s="936"/>
      <c r="D1416" s="936"/>
      <c r="E1416" s="936"/>
      <c r="AH1416" s="983"/>
      <c r="AI1416" s="983"/>
      <c r="AJ1416" s="968"/>
      <c r="AL1416" s="937"/>
    </row>
    <row r="1417" spans="2:38" s="930" customFormat="1" ht="20.25" customHeight="1" x14ac:dyDescent="0.2">
      <c r="B1417" s="936"/>
      <c r="C1417" s="936"/>
      <c r="D1417" s="936"/>
      <c r="E1417" s="936"/>
      <c r="AH1417" s="983"/>
      <c r="AI1417" s="983"/>
      <c r="AJ1417" s="968"/>
      <c r="AL1417" s="937"/>
    </row>
    <row r="1418" spans="2:38" s="930" customFormat="1" ht="20.25" customHeight="1" x14ac:dyDescent="0.2">
      <c r="B1418" s="936"/>
      <c r="C1418" s="936"/>
      <c r="D1418" s="936"/>
      <c r="E1418" s="936"/>
      <c r="AH1418" s="983"/>
      <c r="AI1418" s="983"/>
      <c r="AJ1418" s="968"/>
      <c r="AL1418" s="937"/>
    </row>
    <row r="1419" spans="2:38" s="930" customFormat="1" ht="20.25" customHeight="1" x14ac:dyDescent="0.2">
      <c r="B1419" s="936"/>
      <c r="C1419" s="936"/>
      <c r="D1419" s="936"/>
      <c r="E1419" s="936"/>
      <c r="AH1419" s="983"/>
      <c r="AI1419" s="983"/>
      <c r="AJ1419" s="968"/>
      <c r="AL1419" s="937"/>
    </row>
    <row r="1420" spans="2:38" s="930" customFormat="1" ht="20.25" customHeight="1" x14ac:dyDescent="0.2">
      <c r="B1420" s="936"/>
      <c r="C1420" s="936"/>
      <c r="D1420" s="936"/>
      <c r="E1420" s="936"/>
      <c r="AH1420" s="983"/>
      <c r="AI1420" s="983"/>
      <c r="AJ1420" s="968"/>
      <c r="AL1420" s="937"/>
    </row>
    <row r="1421" spans="2:38" s="930" customFormat="1" ht="20.25" customHeight="1" x14ac:dyDescent="0.2">
      <c r="B1421" s="936"/>
      <c r="C1421" s="936"/>
      <c r="D1421" s="936"/>
      <c r="E1421" s="936"/>
      <c r="AH1421" s="983"/>
      <c r="AI1421" s="983"/>
      <c r="AJ1421" s="968"/>
      <c r="AL1421" s="937"/>
    </row>
    <row r="1422" spans="2:38" s="930" customFormat="1" ht="20.25" customHeight="1" x14ac:dyDescent="0.2">
      <c r="B1422" s="936"/>
      <c r="C1422" s="936"/>
      <c r="D1422" s="936"/>
      <c r="E1422" s="936"/>
      <c r="AH1422" s="983"/>
      <c r="AI1422" s="983"/>
      <c r="AJ1422" s="968"/>
      <c r="AL1422" s="937"/>
    </row>
    <row r="1423" spans="2:38" s="930" customFormat="1" ht="20.25" customHeight="1" x14ac:dyDescent="0.2">
      <c r="B1423" s="936"/>
      <c r="C1423" s="936"/>
      <c r="D1423" s="936"/>
      <c r="E1423" s="936"/>
      <c r="AH1423" s="983"/>
      <c r="AI1423" s="983"/>
      <c r="AJ1423" s="968"/>
      <c r="AL1423" s="937"/>
    </row>
    <row r="1424" spans="2:38" s="930" customFormat="1" ht="20.25" customHeight="1" x14ac:dyDescent="0.2">
      <c r="B1424" s="936"/>
      <c r="C1424" s="936"/>
      <c r="D1424" s="936"/>
      <c r="E1424" s="936"/>
      <c r="AH1424" s="983"/>
      <c r="AI1424" s="983"/>
      <c r="AJ1424" s="968"/>
      <c r="AL1424" s="937"/>
    </row>
    <row r="1425" spans="2:38" s="930" customFormat="1" ht="20.25" customHeight="1" x14ac:dyDescent="0.2">
      <c r="B1425" s="936"/>
      <c r="C1425" s="936"/>
      <c r="D1425" s="936"/>
      <c r="E1425" s="936"/>
      <c r="AH1425" s="983"/>
      <c r="AI1425" s="983"/>
      <c r="AJ1425" s="968"/>
      <c r="AL1425" s="937"/>
    </row>
    <row r="1426" spans="2:38" s="930" customFormat="1" ht="20.25" customHeight="1" x14ac:dyDescent="0.2">
      <c r="B1426" s="936"/>
      <c r="C1426" s="936"/>
      <c r="D1426" s="936"/>
      <c r="E1426" s="936"/>
      <c r="AH1426" s="983"/>
      <c r="AI1426" s="983"/>
      <c r="AJ1426" s="968"/>
      <c r="AL1426" s="937"/>
    </row>
    <row r="1427" spans="2:38" s="930" customFormat="1" ht="20.25" customHeight="1" x14ac:dyDescent="0.2">
      <c r="B1427" s="936"/>
      <c r="C1427" s="936"/>
      <c r="D1427" s="936"/>
      <c r="E1427" s="936"/>
      <c r="AH1427" s="983"/>
      <c r="AI1427" s="983"/>
      <c r="AJ1427" s="968"/>
      <c r="AL1427" s="937"/>
    </row>
    <row r="1428" spans="2:38" s="930" customFormat="1" ht="20.25" customHeight="1" x14ac:dyDescent="0.2">
      <c r="B1428" s="936"/>
      <c r="C1428" s="936"/>
      <c r="D1428" s="936"/>
      <c r="E1428" s="936"/>
      <c r="AH1428" s="983"/>
      <c r="AI1428" s="983"/>
      <c r="AJ1428" s="968"/>
      <c r="AL1428" s="937"/>
    </row>
    <row r="1429" spans="2:38" s="930" customFormat="1" ht="20.25" customHeight="1" x14ac:dyDescent="0.2">
      <c r="B1429" s="936"/>
      <c r="C1429" s="936"/>
      <c r="D1429" s="936"/>
      <c r="E1429" s="936"/>
      <c r="AH1429" s="983"/>
      <c r="AI1429" s="983"/>
      <c r="AJ1429" s="968"/>
      <c r="AL1429" s="937"/>
    </row>
    <row r="1430" spans="2:38" s="930" customFormat="1" ht="20.25" customHeight="1" x14ac:dyDescent="0.2">
      <c r="B1430" s="936"/>
      <c r="C1430" s="936"/>
      <c r="D1430" s="936"/>
      <c r="E1430" s="936"/>
      <c r="AH1430" s="983"/>
      <c r="AI1430" s="983"/>
      <c r="AJ1430" s="968"/>
      <c r="AL1430" s="937"/>
    </row>
    <row r="1431" spans="2:38" s="930" customFormat="1" ht="20.25" customHeight="1" x14ac:dyDescent="0.2">
      <c r="B1431" s="936"/>
      <c r="C1431" s="936"/>
      <c r="D1431" s="936"/>
      <c r="E1431" s="936"/>
      <c r="AH1431" s="983"/>
      <c r="AI1431" s="983"/>
      <c r="AJ1431" s="968"/>
      <c r="AL1431" s="937"/>
    </row>
    <row r="1432" spans="2:38" s="930" customFormat="1" ht="20.25" customHeight="1" x14ac:dyDescent="0.2">
      <c r="B1432" s="936"/>
      <c r="C1432" s="936"/>
      <c r="D1432" s="936"/>
      <c r="E1432" s="936"/>
      <c r="AH1432" s="983"/>
      <c r="AI1432" s="983"/>
      <c r="AJ1432" s="968"/>
      <c r="AL1432" s="937"/>
    </row>
    <row r="1433" spans="2:38" s="930" customFormat="1" ht="20.25" customHeight="1" x14ac:dyDescent="0.2">
      <c r="B1433" s="936"/>
      <c r="C1433" s="936"/>
      <c r="D1433" s="936"/>
      <c r="E1433" s="936"/>
      <c r="AH1433" s="983"/>
      <c r="AI1433" s="983"/>
      <c r="AJ1433" s="968"/>
      <c r="AL1433" s="937"/>
    </row>
    <row r="1434" spans="2:38" s="930" customFormat="1" ht="20.25" customHeight="1" x14ac:dyDescent="0.2">
      <c r="B1434" s="936"/>
      <c r="C1434" s="936"/>
      <c r="D1434" s="936"/>
      <c r="E1434" s="936"/>
      <c r="AH1434" s="983"/>
      <c r="AI1434" s="983"/>
      <c r="AJ1434" s="968"/>
      <c r="AL1434" s="937"/>
    </row>
    <row r="1435" spans="2:38" s="930" customFormat="1" ht="20.25" customHeight="1" x14ac:dyDescent="0.2">
      <c r="B1435" s="936"/>
      <c r="C1435" s="936"/>
      <c r="D1435" s="936"/>
      <c r="E1435" s="936"/>
      <c r="AH1435" s="983"/>
      <c r="AI1435" s="983"/>
      <c r="AJ1435" s="968"/>
      <c r="AL1435" s="937"/>
    </row>
    <row r="1436" spans="2:38" s="930" customFormat="1" ht="20.25" customHeight="1" x14ac:dyDescent="0.2">
      <c r="B1436" s="936"/>
      <c r="C1436" s="936"/>
      <c r="D1436" s="936"/>
      <c r="E1436" s="936"/>
      <c r="AH1436" s="983"/>
      <c r="AI1436" s="983"/>
      <c r="AJ1436" s="968"/>
      <c r="AL1436" s="937"/>
    </row>
    <row r="1437" spans="2:38" s="930" customFormat="1" ht="20.25" customHeight="1" x14ac:dyDescent="0.2">
      <c r="B1437" s="936"/>
      <c r="C1437" s="936"/>
      <c r="D1437" s="936"/>
      <c r="E1437" s="936"/>
      <c r="AH1437" s="983"/>
      <c r="AI1437" s="983"/>
      <c r="AJ1437" s="968"/>
      <c r="AL1437" s="937"/>
    </row>
    <row r="1438" spans="2:38" s="930" customFormat="1" ht="20.25" customHeight="1" x14ac:dyDescent="0.2">
      <c r="B1438" s="936"/>
      <c r="C1438" s="936"/>
      <c r="D1438" s="936"/>
      <c r="E1438" s="936"/>
      <c r="AH1438" s="983"/>
      <c r="AI1438" s="983"/>
      <c r="AJ1438" s="968"/>
      <c r="AL1438" s="937"/>
    </row>
    <row r="1439" spans="2:38" s="930" customFormat="1" ht="20.25" customHeight="1" x14ac:dyDescent="0.2">
      <c r="B1439" s="936"/>
      <c r="C1439" s="936"/>
      <c r="D1439" s="936"/>
      <c r="E1439" s="936"/>
      <c r="AH1439" s="983"/>
      <c r="AI1439" s="983"/>
      <c r="AJ1439" s="968"/>
      <c r="AL1439" s="937"/>
    </row>
    <row r="1440" spans="2:38" s="930" customFormat="1" ht="20.25" customHeight="1" x14ac:dyDescent="0.2">
      <c r="B1440" s="936"/>
      <c r="C1440" s="936"/>
      <c r="D1440" s="936"/>
      <c r="E1440" s="936"/>
      <c r="AH1440" s="983"/>
      <c r="AI1440" s="983"/>
      <c r="AJ1440" s="968"/>
      <c r="AL1440" s="937"/>
    </row>
    <row r="1441" spans="2:38" s="930" customFormat="1" ht="20.25" customHeight="1" x14ac:dyDescent="0.2">
      <c r="B1441" s="936"/>
      <c r="C1441" s="936"/>
      <c r="D1441" s="936"/>
      <c r="E1441" s="936"/>
      <c r="AH1441" s="983"/>
      <c r="AI1441" s="983"/>
      <c r="AJ1441" s="968"/>
      <c r="AL1441" s="937"/>
    </row>
    <row r="1442" spans="2:38" s="930" customFormat="1" ht="20.25" customHeight="1" x14ac:dyDescent="0.2">
      <c r="B1442" s="936"/>
      <c r="C1442" s="936"/>
      <c r="D1442" s="936"/>
      <c r="E1442" s="936"/>
      <c r="AH1442" s="983"/>
      <c r="AI1442" s="983"/>
      <c r="AJ1442" s="968"/>
      <c r="AL1442" s="937"/>
    </row>
    <row r="1443" spans="2:38" s="930" customFormat="1" ht="20.25" customHeight="1" x14ac:dyDescent="0.2">
      <c r="B1443" s="936"/>
      <c r="C1443" s="936"/>
      <c r="D1443" s="936"/>
      <c r="E1443" s="936"/>
      <c r="AH1443" s="983"/>
      <c r="AI1443" s="983"/>
      <c r="AJ1443" s="968"/>
      <c r="AL1443" s="937"/>
    </row>
    <row r="1444" spans="2:38" s="930" customFormat="1" ht="20.25" customHeight="1" x14ac:dyDescent="0.2">
      <c r="B1444" s="936"/>
      <c r="C1444" s="936"/>
      <c r="D1444" s="936"/>
      <c r="E1444" s="936"/>
      <c r="AH1444" s="983"/>
      <c r="AI1444" s="983"/>
      <c r="AJ1444" s="968"/>
      <c r="AL1444" s="937"/>
    </row>
    <row r="1445" spans="2:38" s="930" customFormat="1" ht="20.25" customHeight="1" x14ac:dyDescent="0.2">
      <c r="B1445" s="936"/>
      <c r="C1445" s="936"/>
      <c r="D1445" s="936"/>
      <c r="E1445" s="936"/>
      <c r="AH1445" s="983"/>
      <c r="AI1445" s="983"/>
      <c r="AJ1445" s="968"/>
      <c r="AL1445" s="937"/>
    </row>
    <row r="1446" spans="2:38" s="930" customFormat="1" ht="20.25" customHeight="1" x14ac:dyDescent="0.2">
      <c r="B1446" s="936"/>
      <c r="C1446" s="936"/>
      <c r="D1446" s="936"/>
      <c r="E1446" s="936"/>
      <c r="AH1446" s="983"/>
      <c r="AI1446" s="983"/>
      <c r="AJ1446" s="968"/>
      <c r="AL1446" s="937"/>
    </row>
    <row r="1447" spans="2:38" s="930" customFormat="1" ht="20.25" customHeight="1" x14ac:dyDescent="0.2">
      <c r="B1447" s="936"/>
      <c r="C1447" s="936"/>
      <c r="D1447" s="936"/>
      <c r="E1447" s="936"/>
      <c r="AH1447" s="983"/>
      <c r="AI1447" s="983"/>
      <c r="AJ1447" s="968"/>
      <c r="AL1447" s="937"/>
    </row>
    <row r="1448" spans="2:38" s="930" customFormat="1" ht="20.25" customHeight="1" x14ac:dyDescent="0.2">
      <c r="B1448" s="936"/>
      <c r="C1448" s="936"/>
      <c r="D1448" s="936"/>
      <c r="E1448" s="936"/>
      <c r="AH1448" s="983"/>
      <c r="AI1448" s="983"/>
      <c r="AJ1448" s="968"/>
      <c r="AL1448" s="937"/>
    </row>
    <row r="1449" spans="2:38" s="930" customFormat="1" ht="20.25" customHeight="1" x14ac:dyDescent="0.2">
      <c r="B1449" s="936"/>
      <c r="C1449" s="936"/>
      <c r="D1449" s="936"/>
      <c r="E1449" s="936"/>
      <c r="AH1449" s="983"/>
      <c r="AI1449" s="983"/>
      <c r="AJ1449" s="968"/>
      <c r="AL1449" s="937"/>
    </row>
    <row r="1450" spans="2:38" s="930" customFormat="1" ht="20.25" customHeight="1" x14ac:dyDescent="0.2">
      <c r="B1450" s="936"/>
      <c r="C1450" s="936"/>
      <c r="D1450" s="936"/>
      <c r="E1450" s="936"/>
      <c r="AH1450" s="983"/>
      <c r="AI1450" s="983"/>
      <c r="AJ1450" s="968"/>
      <c r="AL1450" s="937"/>
    </row>
    <row r="1451" spans="2:38" s="930" customFormat="1" ht="20.25" customHeight="1" x14ac:dyDescent="0.2">
      <c r="B1451" s="936"/>
      <c r="C1451" s="936"/>
      <c r="D1451" s="936"/>
      <c r="E1451" s="936"/>
      <c r="AH1451" s="983"/>
      <c r="AI1451" s="983"/>
      <c r="AJ1451" s="968"/>
      <c r="AL1451" s="937"/>
    </row>
    <row r="1452" spans="2:38" s="930" customFormat="1" ht="20.25" customHeight="1" x14ac:dyDescent="0.2">
      <c r="B1452" s="936"/>
      <c r="C1452" s="936"/>
      <c r="D1452" s="936"/>
      <c r="E1452" s="936"/>
      <c r="AH1452" s="983"/>
      <c r="AI1452" s="983"/>
      <c r="AJ1452" s="968"/>
      <c r="AL1452" s="937"/>
    </row>
    <row r="1453" spans="2:38" s="930" customFormat="1" ht="20.25" customHeight="1" x14ac:dyDescent="0.2">
      <c r="B1453" s="936"/>
      <c r="C1453" s="936"/>
      <c r="D1453" s="936"/>
      <c r="E1453" s="936"/>
      <c r="AH1453" s="983"/>
      <c r="AI1453" s="983"/>
      <c r="AJ1453" s="968"/>
      <c r="AL1453" s="937"/>
    </row>
    <row r="1454" spans="2:38" s="930" customFormat="1" ht="20.25" customHeight="1" x14ac:dyDescent="0.2">
      <c r="B1454" s="936"/>
      <c r="C1454" s="936"/>
      <c r="D1454" s="936"/>
      <c r="E1454" s="936"/>
      <c r="AH1454" s="983"/>
      <c r="AI1454" s="983"/>
      <c r="AJ1454" s="968"/>
      <c r="AL1454" s="937"/>
    </row>
    <row r="1455" spans="2:38" s="930" customFormat="1" ht="20.25" customHeight="1" x14ac:dyDescent="0.2">
      <c r="B1455" s="936"/>
      <c r="C1455" s="936"/>
      <c r="D1455" s="936"/>
      <c r="E1455" s="936"/>
      <c r="AH1455" s="983"/>
      <c r="AI1455" s="983"/>
      <c r="AJ1455" s="968"/>
      <c r="AL1455" s="937"/>
    </row>
    <row r="1456" spans="2:38" s="930" customFormat="1" ht="20.25" customHeight="1" x14ac:dyDescent="0.2">
      <c r="B1456" s="936"/>
      <c r="C1456" s="936"/>
      <c r="D1456" s="936"/>
      <c r="E1456" s="936"/>
      <c r="AH1456" s="983"/>
      <c r="AI1456" s="983"/>
      <c r="AJ1456" s="968"/>
      <c r="AL1456" s="937"/>
    </row>
    <row r="1457" spans="2:38" s="930" customFormat="1" ht="20.25" customHeight="1" x14ac:dyDescent="0.2">
      <c r="B1457" s="936"/>
      <c r="C1457" s="936"/>
      <c r="D1457" s="936"/>
      <c r="E1457" s="936"/>
      <c r="AH1457" s="983"/>
      <c r="AI1457" s="983"/>
      <c r="AJ1457" s="968"/>
      <c r="AL1457" s="937"/>
    </row>
    <row r="1458" spans="2:38" s="930" customFormat="1" ht="20.25" customHeight="1" x14ac:dyDescent="0.2">
      <c r="B1458" s="936"/>
      <c r="C1458" s="936"/>
      <c r="D1458" s="936"/>
      <c r="E1458" s="936"/>
      <c r="AH1458" s="983"/>
      <c r="AI1458" s="983"/>
      <c r="AJ1458" s="968"/>
      <c r="AL1458" s="937"/>
    </row>
    <row r="1459" spans="2:38" s="930" customFormat="1" ht="20.25" customHeight="1" x14ac:dyDescent="0.2">
      <c r="B1459" s="936"/>
      <c r="C1459" s="936"/>
      <c r="D1459" s="936"/>
      <c r="E1459" s="936"/>
      <c r="AH1459" s="983"/>
      <c r="AI1459" s="983"/>
      <c r="AJ1459" s="968"/>
      <c r="AL1459" s="937"/>
    </row>
    <row r="1460" spans="2:38" s="930" customFormat="1" ht="20.25" customHeight="1" x14ac:dyDescent="0.2">
      <c r="B1460" s="936"/>
      <c r="C1460" s="936"/>
      <c r="D1460" s="936"/>
      <c r="E1460" s="936"/>
      <c r="AH1460" s="983"/>
      <c r="AI1460" s="983"/>
      <c r="AJ1460" s="968"/>
      <c r="AL1460" s="937"/>
    </row>
    <row r="1461" spans="2:38" s="930" customFormat="1" ht="20.25" customHeight="1" x14ac:dyDescent="0.2">
      <c r="B1461" s="936"/>
      <c r="C1461" s="936"/>
      <c r="D1461" s="936"/>
      <c r="E1461" s="936"/>
      <c r="AH1461" s="983"/>
      <c r="AI1461" s="983"/>
      <c r="AJ1461" s="968"/>
      <c r="AL1461" s="937"/>
    </row>
    <row r="1462" spans="2:38" s="930" customFormat="1" ht="20.25" customHeight="1" x14ac:dyDescent="0.2">
      <c r="B1462" s="936"/>
      <c r="C1462" s="936"/>
      <c r="D1462" s="936"/>
      <c r="E1462" s="936"/>
      <c r="AH1462" s="983"/>
      <c r="AI1462" s="983"/>
      <c r="AJ1462" s="968"/>
      <c r="AL1462" s="937"/>
    </row>
    <row r="1463" spans="2:38" s="930" customFormat="1" ht="20.25" customHeight="1" x14ac:dyDescent="0.2">
      <c r="B1463" s="936"/>
      <c r="C1463" s="936"/>
      <c r="D1463" s="936"/>
      <c r="E1463" s="936"/>
      <c r="AH1463" s="983"/>
      <c r="AI1463" s="983"/>
      <c r="AJ1463" s="968"/>
      <c r="AL1463" s="937"/>
    </row>
    <row r="1464" spans="2:38" s="930" customFormat="1" ht="20.25" customHeight="1" x14ac:dyDescent="0.2">
      <c r="B1464" s="936"/>
      <c r="C1464" s="936"/>
      <c r="D1464" s="936"/>
      <c r="E1464" s="936"/>
      <c r="AH1464" s="983"/>
      <c r="AI1464" s="983"/>
      <c r="AJ1464" s="968"/>
      <c r="AL1464" s="937"/>
    </row>
    <row r="1465" spans="2:38" s="930" customFormat="1" ht="20.25" customHeight="1" x14ac:dyDescent="0.2">
      <c r="B1465" s="936"/>
      <c r="C1465" s="936"/>
      <c r="D1465" s="936"/>
      <c r="E1465" s="936"/>
      <c r="AH1465" s="983"/>
      <c r="AI1465" s="983"/>
      <c r="AJ1465" s="968"/>
      <c r="AL1465" s="937"/>
    </row>
    <row r="1466" spans="2:38" s="930" customFormat="1" ht="20.25" customHeight="1" x14ac:dyDescent="0.2">
      <c r="B1466" s="936"/>
      <c r="C1466" s="936"/>
      <c r="D1466" s="936"/>
      <c r="E1466" s="936"/>
      <c r="AH1466" s="983"/>
      <c r="AI1466" s="983"/>
      <c r="AJ1466" s="968"/>
      <c r="AL1466" s="937"/>
    </row>
    <row r="1467" spans="2:38" s="930" customFormat="1" ht="20.25" customHeight="1" x14ac:dyDescent="0.2">
      <c r="B1467" s="936"/>
      <c r="C1467" s="936"/>
      <c r="D1467" s="936"/>
      <c r="E1467" s="936"/>
      <c r="AH1467" s="983"/>
      <c r="AI1467" s="983"/>
      <c r="AJ1467" s="968"/>
      <c r="AL1467" s="937"/>
    </row>
    <row r="1468" spans="2:38" s="930" customFormat="1" ht="20.25" customHeight="1" x14ac:dyDescent="0.2">
      <c r="B1468" s="936"/>
      <c r="C1468" s="936"/>
      <c r="D1468" s="936"/>
      <c r="E1468" s="936"/>
      <c r="AH1468" s="983"/>
      <c r="AI1468" s="983"/>
      <c r="AJ1468" s="968"/>
      <c r="AL1468" s="937"/>
    </row>
    <row r="1469" spans="2:38" s="930" customFormat="1" ht="20.25" customHeight="1" x14ac:dyDescent="0.2">
      <c r="B1469" s="936"/>
      <c r="C1469" s="936"/>
      <c r="D1469" s="936"/>
      <c r="E1469" s="936"/>
      <c r="AH1469" s="983"/>
      <c r="AI1469" s="983"/>
      <c r="AJ1469" s="968"/>
      <c r="AL1469" s="937"/>
    </row>
    <row r="1470" spans="2:38" s="930" customFormat="1" ht="20.25" customHeight="1" x14ac:dyDescent="0.2">
      <c r="B1470" s="936"/>
      <c r="C1470" s="936"/>
      <c r="D1470" s="936"/>
      <c r="E1470" s="936"/>
      <c r="AH1470" s="983"/>
      <c r="AI1470" s="983"/>
      <c r="AJ1470" s="968"/>
      <c r="AL1470" s="937"/>
    </row>
    <row r="1471" spans="2:38" s="930" customFormat="1" ht="20.25" customHeight="1" x14ac:dyDescent="0.2">
      <c r="B1471" s="936"/>
      <c r="C1471" s="936"/>
      <c r="D1471" s="936"/>
      <c r="E1471" s="936"/>
      <c r="AH1471" s="983"/>
      <c r="AI1471" s="983"/>
      <c r="AJ1471" s="968"/>
      <c r="AL1471" s="937"/>
    </row>
    <row r="1472" spans="2:38" s="930" customFormat="1" ht="20.25" customHeight="1" x14ac:dyDescent="0.2">
      <c r="B1472" s="936"/>
      <c r="C1472" s="936"/>
      <c r="D1472" s="936"/>
      <c r="E1472" s="936"/>
      <c r="AH1472" s="983"/>
      <c r="AI1472" s="983"/>
      <c r="AJ1472" s="968"/>
      <c r="AL1472" s="937"/>
    </row>
    <row r="1473" spans="2:38" s="930" customFormat="1" ht="20.25" customHeight="1" x14ac:dyDescent="0.2">
      <c r="B1473" s="936"/>
      <c r="C1473" s="936"/>
      <c r="D1473" s="936"/>
      <c r="E1473" s="936"/>
      <c r="AH1473" s="983"/>
      <c r="AI1473" s="983"/>
      <c r="AJ1473" s="968"/>
      <c r="AL1473" s="937"/>
    </row>
    <row r="1474" spans="2:38" s="930" customFormat="1" ht="20.25" customHeight="1" x14ac:dyDescent="0.2">
      <c r="B1474" s="936"/>
      <c r="C1474" s="936"/>
      <c r="D1474" s="936"/>
      <c r="E1474" s="936"/>
      <c r="AH1474" s="983"/>
      <c r="AI1474" s="983"/>
      <c r="AJ1474" s="968"/>
      <c r="AL1474" s="937"/>
    </row>
    <row r="1475" spans="2:38" s="930" customFormat="1" ht="20.25" customHeight="1" x14ac:dyDescent="0.2">
      <c r="B1475" s="936"/>
      <c r="C1475" s="936"/>
      <c r="D1475" s="936"/>
      <c r="E1475" s="936"/>
      <c r="AH1475" s="983"/>
      <c r="AI1475" s="983"/>
      <c r="AJ1475" s="968"/>
      <c r="AL1475" s="937"/>
    </row>
    <row r="1476" spans="2:38" s="930" customFormat="1" ht="20.25" customHeight="1" x14ac:dyDescent="0.2">
      <c r="B1476" s="936"/>
      <c r="C1476" s="936"/>
      <c r="D1476" s="936"/>
      <c r="E1476" s="936"/>
      <c r="AH1476" s="983"/>
      <c r="AI1476" s="983"/>
      <c r="AJ1476" s="968"/>
      <c r="AL1476" s="937"/>
    </row>
    <row r="1477" spans="2:38" s="930" customFormat="1" ht="20.25" customHeight="1" x14ac:dyDescent="0.2">
      <c r="B1477" s="936"/>
      <c r="C1477" s="936"/>
      <c r="D1477" s="936"/>
      <c r="E1477" s="936"/>
      <c r="AH1477" s="983"/>
      <c r="AI1477" s="983"/>
      <c r="AJ1477" s="968"/>
      <c r="AL1477" s="937"/>
    </row>
    <row r="1478" spans="2:38" s="930" customFormat="1" ht="20.25" customHeight="1" x14ac:dyDescent="0.2">
      <c r="B1478" s="936"/>
      <c r="C1478" s="936"/>
      <c r="D1478" s="936"/>
      <c r="E1478" s="936"/>
      <c r="AH1478" s="983"/>
      <c r="AI1478" s="983"/>
      <c r="AJ1478" s="968"/>
      <c r="AL1478" s="937"/>
    </row>
    <row r="1479" spans="2:38" s="930" customFormat="1" ht="20.25" customHeight="1" x14ac:dyDescent="0.2">
      <c r="B1479" s="936"/>
      <c r="C1479" s="936"/>
      <c r="D1479" s="936"/>
      <c r="E1479" s="936"/>
      <c r="AH1479" s="983"/>
      <c r="AI1479" s="983"/>
      <c r="AJ1479" s="968"/>
      <c r="AL1479" s="937"/>
    </row>
    <row r="1480" spans="2:38" s="930" customFormat="1" ht="20.25" customHeight="1" x14ac:dyDescent="0.2">
      <c r="B1480" s="936"/>
      <c r="C1480" s="936"/>
      <c r="D1480" s="936"/>
      <c r="E1480" s="936"/>
      <c r="AH1480" s="983"/>
      <c r="AI1480" s="983"/>
      <c r="AJ1480" s="968"/>
      <c r="AL1480" s="937"/>
    </row>
    <row r="1481" spans="2:38" s="930" customFormat="1" ht="20.25" customHeight="1" x14ac:dyDescent="0.2">
      <c r="B1481" s="936"/>
      <c r="C1481" s="936"/>
      <c r="D1481" s="936"/>
      <c r="E1481" s="936"/>
      <c r="AH1481" s="983"/>
      <c r="AI1481" s="983"/>
      <c r="AJ1481" s="968"/>
      <c r="AL1481" s="937"/>
    </row>
    <row r="1482" spans="2:38" s="930" customFormat="1" ht="20.25" customHeight="1" x14ac:dyDescent="0.2">
      <c r="B1482" s="936"/>
      <c r="C1482" s="936"/>
      <c r="D1482" s="936"/>
      <c r="E1482" s="936"/>
      <c r="AH1482" s="983"/>
      <c r="AI1482" s="983"/>
      <c r="AJ1482" s="968"/>
      <c r="AL1482" s="937"/>
    </row>
    <row r="1483" spans="2:38" s="930" customFormat="1" ht="20.25" customHeight="1" x14ac:dyDescent="0.2">
      <c r="B1483" s="936"/>
      <c r="C1483" s="936"/>
      <c r="D1483" s="936"/>
      <c r="E1483" s="936"/>
      <c r="AH1483" s="983"/>
      <c r="AI1483" s="983"/>
      <c r="AJ1483" s="968"/>
      <c r="AL1483" s="937"/>
    </row>
    <row r="1484" spans="2:38" s="930" customFormat="1" ht="20.25" customHeight="1" x14ac:dyDescent="0.2">
      <c r="B1484" s="936"/>
      <c r="C1484" s="936"/>
      <c r="D1484" s="936"/>
      <c r="E1484" s="936"/>
      <c r="AH1484" s="983"/>
      <c r="AI1484" s="983"/>
      <c r="AJ1484" s="968"/>
      <c r="AL1484" s="937"/>
    </row>
    <row r="1485" spans="2:38" s="930" customFormat="1" ht="20.25" customHeight="1" x14ac:dyDescent="0.2">
      <c r="B1485" s="936"/>
      <c r="C1485" s="936"/>
      <c r="D1485" s="936"/>
      <c r="E1485" s="936"/>
      <c r="AH1485" s="983"/>
      <c r="AI1485" s="983"/>
      <c r="AJ1485" s="968"/>
      <c r="AL1485" s="937"/>
    </row>
    <row r="1486" spans="2:38" s="930" customFormat="1" ht="20.25" customHeight="1" x14ac:dyDescent="0.2">
      <c r="B1486" s="936"/>
      <c r="C1486" s="936"/>
      <c r="D1486" s="936"/>
      <c r="E1486" s="936"/>
      <c r="AH1486" s="983"/>
      <c r="AI1486" s="983"/>
      <c r="AJ1486" s="968"/>
      <c r="AL1486" s="937"/>
    </row>
    <row r="1487" spans="2:38" s="930" customFormat="1" ht="20.25" customHeight="1" x14ac:dyDescent="0.2">
      <c r="B1487" s="936"/>
      <c r="C1487" s="936"/>
      <c r="D1487" s="936"/>
      <c r="E1487" s="936"/>
      <c r="AH1487" s="983"/>
      <c r="AI1487" s="983"/>
      <c r="AJ1487" s="968"/>
      <c r="AL1487" s="937"/>
    </row>
    <row r="1488" spans="2:38" s="930" customFormat="1" ht="20.25" customHeight="1" x14ac:dyDescent="0.2">
      <c r="B1488" s="936"/>
      <c r="C1488" s="936"/>
      <c r="D1488" s="936"/>
      <c r="E1488" s="936"/>
      <c r="AH1488" s="983"/>
      <c r="AI1488" s="983"/>
      <c r="AJ1488" s="968"/>
      <c r="AL1488" s="937"/>
    </row>
    <row r="1489" spans="2:38" s="930" customFormat="1" ht="20.25" customHeight="1" x14ac:dyDescent="0.2">
      <c r="B1489" s="936"/>
      <c r="C1489" s="936"/>
      <c r="D1489" s="936"/>
      <c r="E1489" s="936"/>
      <c r="AH1489" s="983"/>
      <c r="AI1489" s="983"/>
      <c r="AJ1489" s="968"/>
      <c r="AL1489" s="937"/>
    </row>
    <row r="1490" spans="2:38" s="930" customFormat="1" ht="20.25" customHeight="1" x14ac:dyDescent="0.2">
      <c r="B1490" s="936"/>
      <c r="C1490" s="936"/>
      <c r="D1490" s="936"/>
      <c r="E1490" s="936"/>
      <c r="AH1490" s="983"/>
      <c r="AI1490" s="983"/>
      <c r="AJ1490" s="968"/>
      <c r="AL1490" s="937"/>
    </row>
    <row r="1491" spans="2:38" s="930" customFormat="1" ht="20.25" customHeight="1" x14ac:dyDescent="0.2">
      <c r="B1491" s="936"/>
      <c r="C1491" s="936"/>
      <c r="D1491" s="936"/>
      <c r="E1491" s="936"/>
      <c r="AH1491" s="983"/>
      <c r="AI1491" s="983"/>
      <c r="AJ1491" s="968"/>
      <c r="AL1491" s="937"/>
    </row>
    <row r="1492" spans="2:38" s="930" customFormat="1" ht="20.25" customHeight="1" x14ac:dyDescent="0.2">
      <c r="B1492" s="936"/>
      <c r="C1492" s="936"/>
      <c r="D1492" s="936"/>
      <c r="E1492" s="936"/>
      <c r="AH1492" s="983"/>
      <c r="AI1492" s="983"/>
      <c r="AJ1492" s="968"/>
      <c r="AL1492" s="937"/>
    </row>
    <row r="1493" spans="2:38" s="930" customFormat="1" ht="20.25" customHeight="1" x14ac:dyDescent="0.2">
      <c r="B1493" s="936"/>
      <c r="C1493" s="936"/>
      <c r="D1493" s="936"/>
      <c r="E1493" s="936"/>
      <c r="AH1493" s="983"/>
      <c r="AI1493" s="983"/>
      <c r="AJ1493" s="968"/>
      <c r="AL1493" s="937"/>
    </row>
    <row r="1494" spans="2:38" s="930" customFormat="1" ht="20.25" customHeight="1" x14ac:dyDescent="0.2">
      <c r="B1494" s="936"/>
      <c r="C1494" s="936"/>
      <c r="D1494" s="936"/>
      <c r="E1494" s="936"/>
      <c r="AH1494" s="983"/>
      <c r="AI1494" s="983"/>
      <c r="AJ1494" s="968"/>
      <c r="AL1494" s="937"/>
    </row>
    <row r="1495" spans="2:38" s="930" customFormat="1" ht="20.25" customHeight="1" x14ac:dyDescent="0.2">
      <c r="B1495" s="936"/>
      <c r="C1495" s="936"/>
      <c r="D1495" s="936"/>
      <c r="E1495" s="936"/>
      <c r="AH1495" s="983"/>
      <c r="AI1495" s="983"/>
      <c r="AJ1495" s="968"/>
      <c r="AL1495" s="937"/>
    </row>
    <row r="1496" spans="2:38" s="930" customFormat="1" ht="20.25" customHeight="1" x14ac:dyDescent="0.2">
      <c r="B1496" s="936"/>
      <c r="C1496" s="936"/>
      <c r="D1496" s="936"/>
      <c r="E1496" s="936"/>
      <c r="AH1496" s="983"/>
      <c r="AI1496" s="983"/>
      <c r="AJ1496" s="968"/>
      <c r="AL1496" s="937"/>
    </row>
    <row r="1497" spans="2:38" s="930" customFormat="1" ht="20.25" customHeight="1" x14ac:dyDescent="0.2">
      <c r="B1497" s="936"/>
      <c r="C1497" s="936"/>
      <c r="D1497" s="936"/>
      <c r="E1497" s="936"/>
      <c r="AH1497" s="983"/>
      <c r="AI1497" s="983"/>
      <c r="AJ1497" s="968"/>
      <c r="AL1497" s="937"/>
    </row>
    <row r="1498" spans="2:38" s="930" customFormat="1" ht="20.25" customHeight="1" x14ac:dyDescent="0.2">
      <c r="B1498" s="936"/>
      <c r="C1498" s="936"/>
      <c r="D1498" s="936"/>
      <c r="E1498" s="936"/>
      <c r="AH1498" s="983"/>
      <c r="AI1498" s="983"/>
      <c r="AJ1498" s="968"/>
      <c r="AL1498" s="937"/>
    </row>
    <row r="1499" spans="2:38" s="930" customFormat="1" ht="20.25" customHeight="1" x14ac:dyDescent="0.2">
      <c r="B1499" s="936"/>
      <c r="C1499" s="936"/>
      <c r="D1499" s="936"/>
      <c r="E1499" s="936"/>
      <c r="AH1499" s="983"/>
      <c r="AI1499" s="983"/>
      <c r="AJ1499" s="968"/>
      <c r="AL1499" s="937"/>
    </row>
    <row r="1500" spans="2:38" s="930" customFormat="1" ht="20.25" customHeight="1" x14ac:dyDescent="0.2">
      <c r="B1500" s="936"/>
      <c r="C1500" s="936"/>
      <c r="D1500" s="936"/>
      <c r="E1500" s="936"/>
      <c r="AH1500" s="983"/>
      <c r="AI1500" s="983"/>
      <c r="AJ1500" s="968"/>
      <c r="AL1500" s="937"/>
    </row>
    <row r="1501" spans="2:38" s="930" customFormat="1" ht="20.25" customHeight="1" x14ac:dyDescent="0.2">
      <c r="B1501" s="936"/>
      <c r="C1501" s="936"/>
      <c r="D1501" s="936"/>
      <c r="E1501" s="936"/>
      <c r="AH1501" s="983"/>
      <c r="AI1501" s="983"/>
      <c r="AJ1501" s="968"/>
      <c r="AL1501" s="937"/>
    </row>
    <row r="1502" spans="2:38" s="930" customFormat="1" ht="20.25" customHeight="1" x14ac:dyDescent="0.2">
      <c r="B1502" s="936"/>
      <c r="C1502" s="936"/>
      <c r="D1502" s="936"/>
      <c r="E1502" s="936"/>
      <c r="AH1502" s="983"/>
      <c r="AI1502" s="983"/>
      <c r="AJ1502" s="968"/>
      <c r="AL1502" s="937"/>
    </row>
    <row r="1503" spans="2:38" s="930" customFormat="1" ht="20.25" customHeight="1" x14ac:dyDescent="0.2">
      <c r="B1503" s="936"/>
      <c r="C1503" s="936"/>
      <c r="D1503" s="936"/>
      <c r="E1503" s="936"/>
      <c r="AH1503" s="983"/>
      <c r="AI1503" s="983"/>
      <c r="AJ1503" s="968"/>
      <c r="AL1503" s="937"/>
    </row>
    <row r="1504" spans="2:38" s="930" customFormat="1" ht="20.25" customHeight="1" x14ac:dyDescent="0.2">
      <c r="B1504" s="936"/>
      <c r="C1504" s="936"/>
      <c r="D1504" s="936"/>
      <c r="E1504" s="936"/>
      <c r="AH1504" s="983"/>
      <c r="AI1504" s="983"/>
      <c r="AJ1504" s="968"/>
      <c r="AL1504" s="937"/>
    </row>
    <row r="1505" spans="2:38" s="930" customFormat="1" ht="20.25" customHeight="1" x14ac:dyDescent="0.2">
      <c r="B1505" s="936"/>
      <c r="C1505" s="936"/>
      <c r="D1505" s="936"/>
      <c r="E1505" s="936"/>
      <c r="AH1505" s="983"/>
      <c r="AI1505" s="983"/>
      <c r="AJ1505" s="968"/>
      <c r="AL1505" s="937"/>
    </row>
    <row r="1506" spans="2:38" s="930" customFormat="1" ht="20.25" customHeight="1" x14ac:dyDescent="0.2">
      <c r="B1506" s="936"/>
      <c r="C1506" s="936"/>
      <c r="D1506" s="936"/>
      <c r="E1506" s="936"/>
      <c r="AH1506" s="983"/>
      <c r="AI1506" s="983"/>
      <c r="AJ1506" s="968"/>
      <c r="AL1506" s="937"/>
    </row>
    <row r="1507" spans="2:38" s="930" customFormat="1" ht="20.25" customHeight="1" x14ac:dyDescent="0.2">
      <c r="B1507" s="936"/>
      <c r="C1507" s="936"/>
      <c r="D1507" s="936"/>
      <c r="E1507" s="936"/>
      <c r="AH1507" s="983"/>
      <c r="AI1507" s="983"/>
      <c r="AJ1507" s="968"/>
      <c r="AL1507" s="937"/>
    </row>
    <row r="1508" spans="2:38" s="930" customFormat="1" ht="20.25" customHeight="1" x14ac:dyDescent="0.2">
      <c r="B1508" s="936"/>
      <c r="C1508" s="936"/>
      <c r="D1508" s="936"/>
      <c r="E1508" s="936"/>
      <c r="AH1508" s="983"/>
      <c r="AI1508" s="983"/>
      <c r="AJ1508" s="968"/>
      <c r="AL1508" s="937"/>
    </row>
    <row r="1509" spans="2:38" s="930" customFormat="1" ht="20.25" customHeight="1" x14ac:dyDescent="0.2">
      <c r="B1509" s="936"/>
      <c r="C1509" s="936"/>
      <c r="D1509" s="936"/>
      <c r="E1509" s="936"/>
      <c r="AH1509" s="983"/>
      <c r="AI1509" s="983"/>
      <c r="AJ1509" s="968"/>
      <c r="AL1509" s="937"/>
    </row>
    <row r="1510" spans="2:38" s="930" customFormat="1" ht="20.25" customHeight="1" x14ac:dyDescent="0.2">
      <c r="B1510" s="936"/>
      <c r="C1510" s="936"/>
      <c r="D1510" s="936"/>
      <c r="E1510" s="936"/>
      <c r="AH1510" s="983"/>
      <c r="AI1510" s="983"/>
      <c r="AJ1510" s="968"/>
      <c r="AL1510" s="937"/>
    </row>
    <row r="1511" spans="2:38" s="930" customFormat="1" ht="20.25" customHeight="1" x14ac:dyDescent="0.2">
      <c r="B1511" s="936"/>
      <c r="C1511" s="936"/>
      <c r="D1511" s="936"/>
      <c r="E1511" s="936"/>
      <c r="AH1511" s="983"/>
      <c r="AI1511" s="983"/>
      <c r="AJ1511" s="968"/>
      <c r="AL1511" s="937"/>
    </row>
    <row r="1512" spans="2:38" s="930" customFormat="1" ht="20.25" customHeight="1" x14ac:dyDescent="0.2">
      <c r="B1512" s="936"/>
      <c r="C1512" s="936"/>
      <c r="D1512" s="936"/>
      <c r="E1512" s="936"/>
      <c r="AH1512" s="983"/>
      <c r="AI1512" s="983"/>
      <c r="AJ1512" s="968"/>
      <c r="AL1512" s="937"/>
    </row>
    <row r="1513" spans="2:38" s="930" customFormat="1" ht="20.25" customHeight="1" x14ac:dyDescent="0.2">
      <c r="B1513" s="936"/>
      <c r="C1513" s="936"/>
      <c r="D1513" s="936"/>
      <c r="E1513" s="936"/>
      <c r="AH1513" s="983"/>
      <c r="AI1513" s="983"/>
      <c r="AJ1513" s="968"/>
      <c r="AL1513" s="937"/>
    </row>
    <row r="1514" spans="2:38" s="930" customFormat="1" ht="20.25" customHeight="1" x14ac:dyDescent="0.2">
      <c r="B1514" s="936"/>
      <c r="C1514" s="936"/>
      <c r="D1514" s="936"/>
      <c r="E1514" s="936"/>
      <c r="AH1514" s="983"/>
      <c r="AI1514" s="983"/>
      <c r="AJ1514" s="968"/>
      <c r="AL1514" s="937"/>
    </row>
    <row r="1515" spans="2:38" s="930" customFormat="1" ht="20.25" customHeight="1" x14ac:dyDescent="0.2">
      <c r="B1515" s="936"/>
      <c r="C1515" s="936"/>
      <c r="D1515" s="936"/>
      <c r="E1515" s="936"/>
      <c r="AH1515" s="983"/>
      <c r="AI1515" s="983"/>
      <c r="AJ1515" s="968"/>
      <c r="AL1515" s="937"/>
    </row>
    <row r="1516" spans="2:38" s="930" customFormat="1" ht="20.25" customHeight="1" x14ac:dyDescent="0.2">
      <c r="B1516" s="936"/>
      <c r="C1516" s="936"/>
      <c r="D1516" s="936"/>
      <c r="E1516" s="936"/>
      <c r="AH1516" s="983"/>
      <c r="AI1516" s="983"/>
      <c r="AJ1516" s="968"/>
      <c r="AL1516" s="937"/>
    </row>
    <row r="1517" spans="2:38" s="930" customFormat="1" ht="20.25" customHeight="1" x14ac:dyDescent="0.2">
      <c r="B1517" s="936"/>
      <c r="C1517" s="936"/>
      <c r="D1517" s="936"/>
      <c r="E1517" s="936"/>
      <c r="AH1517" s="983"/>
      <c r="AI1517" s="983"/>
      <c r="AJ1517" s="968"/>
      <c r="AL1517" s="937"/>
    </row>
    <row r="1518" spans="2:38" s="930" customFormat="1" ht="20.25" customHeight="1" x14ac:dyDescent="0.2">
      <c r="B1518" s="936"/>
      <c r="C1518" s="936"/>
      <c r="D1518" s="936"/>
      <c r="E1518" s="936"/>
      <c r="AH1518" s="983"/>
      <c r="AI1518" s="983"/>
      <c r="AJ1518" s="968"/>
      <c r="AL1518" s="937"/>
    </row>
    <row r="1519" spans="2:38" s="930" customFormat="1" ht="20.25" customHeight="1" x14ac:dyDescent="0.2">
      <c r="B1519" s="936"/>
      <c r="C1519" s="936"/>
      <c r="D1519" s="936"/>
      <c r="E1519" s="936"/>
      <c r="AH1519" s="983"/>
      <c r="AI1519" s="983"/>
      <c r="AJ1519" s="968"/>
      <c r="AL1519" s="937"/>
    </row>
    <row r="1520" spans="2:38" s="930" customFormat="1" ht="20.25" customHeight="1" x14ac:dyDescent="0.2">
      <c r="B1520" s="936"/>
      <c r="C1520" s="936"/>
      <c r="D1520" s="936"/>
      <c r="E1520" s="936"/>
      <c r="AH1520" s="983"/>
      <c r="AI1520" s="983"/>
      <c r="AJ1520" s="968"/>
      <c r="AL1520" s="937"/>
    </row>
    <row r="1521" spans="2:38" s="930" customFormat="1" ht="20.25" customHeight="1" x14ac:dyDescent="0.2">
      <c r="B1521" s="936"/>
      <c r="C1521" s="936"/>
      <c r="D1521" s="936"/>
      <c r="E1521" s="936"/>
      <c r="AH1521" s="983"/>
      <c r="AI1521" s="983"/>
      <c r="AJ1521" s="968"/>
      <c r="AL1521" s="937"/>
    </row>
    <row r="1522" spans="2:38" s="930" customFormat="1" ht="20.25" customHeight="1" x14ac:dyDescent="0.2">
      <c r="B1522" s="936"/>
      <c r="C1522" s="936"/>
      <c r="D1522" s="936"/>
      <c r="E1522" s="936"/>
      <c r="AH1522" s="983"/>
      <c r="AI1522" s="983"/>
      <c r="AJ1522" s="968"/>
      <c r="AL1522" s="937"/>
    </row>
    <row r="1523" spans="2:38" s="930" customFormat="1" ht="20.25" customHeight="1" x14ac:dyDescent="0.2">
      <c r="B1523" s="936"/>
      <c r="C1523" s="936"/>
      <c r="D1523" s="936"/>
      <c r="E1523" s="936"/>
      <c r="AH1523" s="983"/>
      <c r="AI1523" s="983"/>
      <c r="AJ1523" s="968"/>
      <c r="AL1523" s="937"/>
    </row>
    <row r="1524" spans="2:38" s="930" customFormat="1" ht="20.25" customHeight="1" x14ac:dyDescent="0.2">
      <c r="B1524" s="936"/>
      <c r="C1524" s="936"/>
      <c r="D1524" s="936"/>
      <c r="E1524" s="936"/>
      <c r="AH1524" s="983"/>
      <c r="AI1524" s="983"/>
      <c r="AJ1524" s="968"/>
      <c r="AL1524" s="937"/>
    </row>
    <row r="1525" spans="2:38" s="930" customFormat="1" ht="20.25" customHeight="1" x14ac:dyDescent="0.2">
      <c r="B1525" s="936"/>
      <c r="C1525" s="936"/>
      <c r="D1525" s="936"/>
      <c r="E1525" s="936"/>
      <c r="AH1525" s="983"/>
      <c r="AI1525" s="983"/>
      <c r="AJ1525" s="968"/>
      <c r="AL1525" s="937"/>
    </row>
    <row r="1526" spans="2:38" s="930" customFormat="1" ht="20.25" customHeight="1" x14ac:dyDescent="0.2">
      <c r="B1526" s="936"/>
      <c r="C1526" s="936"/>
      <c r="D1526" s="936"/>
      <c r="E1526" s="936"/>
      <c r="AH1526" s="983"/>
      <c r="AI1526" s="983"/>
      <c r="AJ1526" s="968"/>
      <c r="AL1526" s="937"/>
    </row>
    <row r="1527" spans="2:38" s="930" customFormat="1" ht="20.25" customHeight="1" x14ac:dyDescent="0.2">
      <c r="B1527" s="936"/>
      <c r="C1527" s="936"/>
      <c r="D1527" s="936"/>
      <c r="E1527" s="936"/>
      <c r="AH1527" s="983"/>
      <c r="AI1527" s="983"/>
      <c r="AJ1527" s="968"/>
      <c r="AL1527" s="937"/>
    </row>
    <row r="1528" spans="2:38" s="930" customFormat="1" ht="20.25" customHeight="1" x14ac:dyDescent="0.2">
      <c r="B1528" s="936"/>
      <c r="C1528" s="936"/>
      <c r="D1528" s="936"/>
      <c r="E1528" s="936"/>
      <c r="AH1528" s="983"/>
      <c r="AI1528" s="983"/>
      <c r="AJ1528" s="968"/>
      <c r="AL1528" s="937"/>
    </row>
    <row r="1529" spans="2:38" s="930" customFormat="1" ht="20.25" customHeight="1" x14ac:dyDescent="0.2">
      <c r="B1529" s="936"/>
      <c r="C1529" s="936"/>
      <c r="D1529" s="936"/>
      <c r="E1529" s="936"/>
      <c r="AH1529" s="983"/>
      <c r="AI1529" s="983"/>
      <c r="AJ1529" s="968"/>
      <c r="AL1529" s="937"/>
    </row>
    <row r="1530" spans="2:38" s="930" customFormat="1" ht="20.25" customHeight="1" x14ac:dyDescent="0.2">
      <c r="B1530" s="936"/>
      <c r="C1530" s="936"/>
      <c r="D1530" s="936"/>
      <c r="E1530" s="936"/>
      <c r="AH1530" s="983"/>
      <c r="AI1530" s="983"/>
      <c r="AJ1530" s="968"/>
      <c r="AL1530" s="937"/>
    </row>
    <row r="1531" spans="2:38" s="930" customFormat="1" ht="20.25" customHeight="1" x14ac:dyDescent="0.2">
      <c r="B1531" s="936"/>
      <c r="C1531" s="936"/>
      <c r="D1531" s="936"/>
      <c r="E1531" s="936"/>
      <c r="AH1531" s="983"/>
      <c r="AI1531" s="983"/>
      <c r="AJ1531" s="968"/>
      <c r="AL1531" s="937"/>
    </row>
    <row r="1532" spans="2:38" s="930" customFormat="1" ht="20.25" customHeight="1" x14ac:dyDescent="0.2">
      <c r="B1532" s="936"/>
      <c r="C1532" s="936"/>
      <c r="D1532" s="936"/>
      <c r="E1532" s="936"/>
      <c r="AH1532" s="983"/>
      <c r="AI1532" s="983"/>
      <c r="AJ1532" s="968"/>
      <c r="AL1532" s="937"/>
    </row>
    <row r="1533" spans="2:38" s="930" customFormat="1" ht="20.25" customHeight="1" x14ac:dyDescent="0.2">
      <c r="B1533" s="936"/>
      <c r="C1533" s="936"/>
      <c r="D1533" s="936"/>
      <c r="E1533" s="936"/>
      <c r="AH1533" s="983"/>
      <c r="AI1533" s="983"/>
      <c r="AJ1533" s="968"/>
      <c r="AL1533" s="937"/>
    </row>
    <row r="1534" spans="2:38" s="930" customFormat="1" ht="20.25" customHeight="1" x14ac:dyDescent="0.2">
      <c r="B1534" s="936"/>
      <c r="C1534" s="936"/>
      <c r="D1534" s="936"/>
      <c r="E1534" s="936"/>
      <c r="AH1534" s="983"/>
      <c r="AI1534" s="983"/>
      <c r="AJ1534" s="968"/>
      <c r="AL1534" s="937"/>
    </row>
    <row r="1535" spans="2:38" s="930" customFormat="1" ht="20.25" customHeight="1" x14ac:dyDescent="0.2">
      <c r="B1535" s="936"/>
      <c r="C1535" s="936"/>
      <c r="D1535" s="936"/>
      <c r="E1535" s="936"/>
      <c r="AH1535" s="983"/>
      <c r="AI1535" s="983"/>
      <c r="AJ1535" s="968"/>
      <c r="AL1535" s="937"/>
    </row>
    <row r="1536" spans="2:38" s="930" customFormat="1" ht="20.25" customHeight="1" x14ac:dyDescent="0.2">
      <c r="B1536" s="936"/>
      <c r="C1536" s="936"/>
      <c r="D1536" s="936"/>
      <c r="E1536" s="936"/>
      <c r="AH1536" s="983"/>
      <c r="AI1536" s="983"/>
      <c r="AJ1536" s="968"/>
      <c r="AL1536" s="937"/>
    </row>
    <row r="1537" spans="2:38" s="930" customFormat="1" ht="20.25" customHeight="1" x14ac:dyDescent="0.2">
      <c r="B1537" s="936"/>
      <c r="C1537" s="936"/>
      <c r="D1537" s="936"/>
      <c r="E1537" s="936"/>
      <c r="AH1537" s="983"/>
      <c r="AI1537" s="983"/>
      <c r="AJ1537" s="968"/>
      <c r="AL1537" s="937"/>
    </row>
    <row r="1538" spans="2:38" s="930" customFormat="1" ht="20.25" customHeight="1" x14ac:dyDescent="0.2">
      <c r="B1538" s="936"/>
      <c r="C1538" s="936"/>
      <c r="D1538" s="936"/>
      <c r="E1538" s="936"/>
      <c r="AH1538" s="983"/>
      <c r="AI1538" s="983"/>
      <c r="AJ1538" s="968"/>
      <c r="AL1538" s="937"/>
    </row>
    <row r="1539" spans="2:38" s="930" customFormat="1" ht="20.25" customHeight="1" x14ac:dyDescent="0.2">
      <c r="B1539" s="936"/>
      <c r="C1539" s="936"/>
      <c r="D1539" s="936"/>
      <c r="E1539" s="936"/>
      <c r="AH1539" s="983"/>
      <c r="AI1539" s="983"/>
      <c r="AJ1539" s="968"/>
      <c r="AL1539" s="937"/>
    </row>
    <row r="1540" spans="2:38" s="930" customFormat="1" ht="20.25" customHeight="1" x14ac:dyDescent="0.2">
      <c r="B1540" s="936"/>
      <c r="C1540" s="936"/>
      <c r="D1540" s="936"/>
      <c r="E1540" s="936"/>
      <c r="AH1540" s="983"/>
      <c r="AI1540" s="983"/>
      <c r="AJ1540" s="968"/>
      <c r="AL1540" s="937"/>
    </row>
    <row r="1541" spans="2:38" s="930" customFormat="1" ht="20.25" customHeight="1" x14ac:dyDescent="0.2">
      <c r="B1541" s="936"/>
      <c r="C1541" s="936"/>
      <c r="D1541" s="936"/>
      <c r="E1541" s="936"/>
      <c r="AH1541" s="983"/>
      <c r="AI1541" s="983"/>
      <c r="AJ1541" s="968"/>
      <c r="AL1541" s="937"/>
    </row>
    <row r="1542" spans="2:38" s="930" customFormat="1" ht="20.25" customHeight="1" x14ac:dyDescent="0.2">
      <c r="B1542" s="936"/>
      <c r="C1542" s="936"/>
      <c r="D1542" s="936"/>
      <c r="E1542" s="936"/>
      <c r="AH1542" s="983"/>
      <c r="AI1542" s="983"/>
      <c r="AJ1542" s="968"/>
      <c r="AL1542" s="937"/>
    </row>
    <row r="1543" spans="2:38" s="930" customFormat="1" ht="20.25" customHeight="1" x14ac:dyDescent="0.2">
      <c r="B1543" s="936"/>
      <c r="C1543" s="936"/>
      <c r="D1543" s="936"/>
      <c r="E1543" s="936"/>
      <c r="AH1543" s="983"/>
      <c r="AI1543" s="983"/>
      <c r="AJ1543" s="968"/>
      <c r="AL1543" s="937"/>
    </row>
    <row r="1544" spans="2:38" s="930" customFormat="1" ht="20.25" customHeight="1" x14ac:dyDescent="0.2">
      <c r="B1544" s="936"/>
      <c r="C1544" s="936"/>
      <c r="D1544" s="936"/>
      <c r="E1544" s="936"/>
      <c r="AH1544" s="983"/>
      <c r="AI1544" s="983"/>
      <c r="AJ1544" s="968"/>
      <c r="AL1544" s="937"/>
    </row>
    <row r="1545" spans="2:38" s="930" customFormat="1" ht="20.25" customHeight="1" x14ac:dyDescent="0.2">
      <c r="B1545" s="936"/>
      <c r="C1545" s="936"/>
      <c r="D1545" s="936"/>
      <c r="E1545" s="936"/>
      <c r="AH1545" s="983"/>
      <c r="AI1545" s="983"/>
      <c r="AJ1545" s="968"/>
      <c r="AL1545" s="937"/>
    </row>
    <row r="1546" spans="2:38" s="930" customFormat="1" ht="20.25" customHeight="1" x14ac:dyDescent="0.2">
      <c r="B1546" s="936"/>
      <c r="C1546" s="936"/>
      <c r="D1546" s="936"/>
      <c r="E1546" s="936"/>
      <c r="AH1546" s="983"/>
      <c r="AI1546" s="983"/>
      <c r="AJ1546" s="968"/>
      <c r="AL1546" s="937"/>
    </row>
    <row r="1547" spans="2:38" s="930" customFormat="1" ht="20.25" customHeight="1" x14ac:dyDescent="0.2">
      <c r="B1547" s="936"/>
      <c r="C1547" s="936"/>
      <c r="D1547" s="936"/>
      <c r="E1547" s="936"/>
      <c r="AH1547" s="983"/>
      <c r="AI1547" s="983"/>
      <c r="AJ1547" s="968"/>
      <c r="AL1547" s="937"/>
    </row>
    <row r="1548" spans="2:38" s="930" customFormat="1" ht="20.25" customHeight="1" x14ac:dyDescent="0.2">
      <c r="B1548" s="936"/>
      <c r="C1548" s="936"/>
      <c r="D1548" s="936"/>
      <c r="E1548" s="936"/>
      <c r="AH1548" s="983"/>
      <c r="AI1548" s="983"/>
      <c r="AJ1548" s="968"/>
      <c r="AL1548" s="937"/>
    </row>
    <row r="1549" spans="2:38" s="930" customFormat="1" ht="20.25" customHeight="1" x14ac:dyDescent="0.2">
      <c r="B1549" s="936"/>
      <c r="C1549" s="936"/>
      <c r="D1549" s="936"/>
      <c r="E1549" s="936"/>
      <c r="AH1549" s="983"/>
      <c r="AI1549" s="983"/>
      <c r="AJ1549" s="968"/>
      <c r="AL1549" s="937"/>
    </row>
    <row r="1550" spans="2:38" s="930" customFormat="1" ht="20.25" customHeight="1" x14ac:dyDescent="0.2">
      <c r="B1550" s="936"/>
      <c r="C1550" s="936"/>
      <c r="D1550" s="936"/>
      <c r="E1550" s="936"/>
      <c r="AH1550" s="983"/>
      <c r="AI1550" s="983"/>
      <c r="AJ1550" s="968"/>
      <c r="AL1550" s="937"/>
    </row>
    <row r="1551" spans="2:38" s="930" customFormat="1" ht="20.25" customHeight="1" x14ac:dyDescent="0.2">
      <c r="B1551" s="936"/>
      <c r="C1551" s="936"/>
      <c r="D1551" s="936"/>
      <c r="E1551" s="936"/>
      <c r="AH1551" s="983"/>
      <c r="AI1551" s="983"/>
      <c r="AJ1551" s="968"/>
      <c r="AL1551" s="937"/>
    </row>
    <row r="1552" spans="2:38" s="930" customFormat="1" ht="20.25" customHeight="1" x14ac:dyDescent="0.2">
      <c r="B1552" s="936"/>
      <c r="C1552" s="936"/>
      <c r="D1552" s="936"/>
      <c r="E1552" s="936"/>
      <c r="AH1552" s="983"/>
      <c r="AI1552" s="983"/>
      <c r="AJ1552" s="968"/>
      <c r="AL1552" s="937"/>
    </row>
    <row r="1553" spans="2:38" s="930" customFormat="1" ht="20.25" customHeight="1" x14ac:dyDescent="0.2">
      <c r="B1553" s="936"/>
      <c r="C1553" s="936"/>
      <c r="D1553" s="936"/>
      <c r="E1553" s="936"/>
      <c r="AH1553" s="983"/>
      <c r="AI1553" s="983"/>
      <c r="AJ1553" s="968"/>
      <c r="AL1553" s="937"/>
    </row>
    <row r="1554" spans="2:38" s="930" customFormat="1" ht="20.25" customHeight="1" x14ac:dyDescent="0.2">
      <c r="B1554" s="936"/>
      <c r="C1554" s="936"/>
      <c r="D1554" s="936"/>
      <c r="E1554" s="936"/>
      <c r="AH1554" s="983"/>
      <c r="AI1554" s="983"/>
      <c r="AJ1554" s="968"/>
      <c r="AL1554" s="937"/>
    </row>
    <row r="1555" spans="2:38" s="930" customFormat="1" ht="20.25" customHeight="1" x14ac:dyDescent="0.2">
      <c r="B1555" s="936"/>
      <c r="C1555" s="936"/>
      <c r="D1555" s="936"/>
      <c r="E1555" s="936"/>
      <c r="AH1555" s="983"/>
      <c r="AI1555" s="983"/>
      <c r="AJ1555" s="968"/>
      <c r="AL1555" s="937"/>
    </row>
    <row r="1556" spans="2:38" s="930" customFormat="1" ht="20.25" customHeight="1" x14ac:dyDescent="0.2">
      <c r="B1556" s="936"/>
      <c r="C1556" s="936"/>
      <c r="D1556" s="936"/>
      <c r="E1556" s="936"/>
      <c r="AH1556" s="983"/>
      <c r="AI1556" s="983"/>
      <c r="AJ1556" s="968"/>
      <c r="AL1556" s="937"/>
    </row>
    <row r="1557" spans="2:38" s="930" customFormat="1" ht="20.25" customHeight="1" x14ac:dyDescent="0.2">
      <c r="B1557" s="936"/>
      <c r="C1557" s="936"/>
      <c r="D1557" s="936"/>
      <c r="E1557" s="936"/>
      <c r="AH1557" s="983"/>
      <c r="AI1557" s="983"/>
      <c r="AJ1557" s="968"/>
      <c r="AL1557" s="937"/>
    </row>
    <row r="1558" spans="2:38" s="930" customFormat="1" ht="20.25" customHeight="1" x14ac:dyDescent="0.2">
      <c r="B1558" s="936"/>
      <c r="C1558" s="936"/>
      <c r="D1558" s="936"/>
      <c r="E1558" s="936"/>
      <c r="AH1558" s="983"/>
      <c r="AI1558" s="983"/>
      <c r="AJ1558" s="968"/>
      <c r="AL1558" s="937"/>
    </row>
    <row r="1559" spans="2:38" s="930" customFormat="1" ht="20.25" customHeight="1" x14ac:dyDescent="0.2">
      <c r="B1559" s="936"/>
      <c r="C1559" s="936"/>
      <c r="D1559" s="936"/>
      <c r="E1559" s="936"/>
      <c r="AH1559" s="983"/>
      <c r="AI1559" s="983"/>
      <c r="AJ1559" s="968"/>
      <c r="AL1559" s="937"/>
    </row>
    <row r="1560" spans="2:38" s="930" customFormat="1" ht="20.25" customHeight="1" x14ac:dyDescent="0.2">
      <c r="B1560" s="936"/>
      <c r="C1560" s="936"/>
      <c r="D1560" s="936"/>
      <c r="E1560" s="936"/>
      <c r="AH1560" s="983"/>
      <c r="AI1560" s="983"/>
      <c r="AJ1560" s="968"/>
      <c r="AL1560" s="937"/>
    </row>
    <row r="1561" spans="2:38" s="930" customFormat="1" ht="20.25" customHeight="1" x14ac:dyDescent="0.2">
      <c r="B1561" s="936"/>
      <c r="C1561" s="936"/>
      <c r="D1561" s="936"/>
      <c r="E1561" s="936"/>
      <c r="AH1561" s="983"/>
      <c r="AI1561" s="983"/>
      <c r="AJ1561" s="968"/>
      <c r="AL1561" s="937"/>
    </row>
    <row r="1562" spans="2:38" s="930" customFormat="1" ht="20.25" customHeight="1" x14ac:dyDescent="0.2">
      <c r="B1562" s="936"/>
      <c r="C1562" s="936"/>
      <c r="D1562" s="936"/>
      <c r="E1562" s="936"/>
      <c r="AH1562" s="983"/>
      <c r="AI1562" s="983"/>
      <c r="AJ1562" s="968"/>
      <c r="AL1562" s="937"/>
    </row>
    <row r="1563" spans="2:38" s="930" customFormat="1" ht="20.25" customHeight="1" x14ac:dyDescent="0.2">
      <c r="B1563" s="936"/>
      <c r="C1563" s="936"/>
      <c r="D1563" s="936"/>
      <c r="E1563" s="936"/>
      <c r="AH1563" s="983"/>
      <c r="AI1563" s="983"/>
      <c r="AJ1563" s="968"/>
      <c r="AL1563" s="937"/>
    </row>
    <row r="1564" spans="2:38" s="930" customFormat="1" ht="20.25" customHeight="1" x14ac:dyDescent="0.2">
      <c r="B1564" s="936"/>
      <c r="C1564" s="936"/>
      <c r="D1564" s="936"/>
      <c r="E1564" s="936"/>
      <c r="AH1564" s="983"/>
      <c r="AI1564" s="983"/>
      <c r="AJ1564" s="968"/>
      <c r="AL1564" s="937"/>
    </row>
    <row r="1565" spans="2:38" s="930" customFormat="1" ht="20.25" customHeight="1" x14ac:dyDescent="0.2">
      <c r="B1565" s="936"/>
      <c r="C1565" s="936"/>
      <c r="D1565" s="936"/>
      <c r="E1565" s="936"/>
      <c r="AH1565" s="983"/>
      <c r="AI1565" s="983"/>
      <c r="AJ1565" s="968"/>
      <c r="AL1565" s="937"/>
    </row>
    <row r="1566" spans="2:38" s="930" customFormat="1" ht="20.25" customHeight="1" x14ac:dyDescent="0.2">
      <c r="B1566" s="936"/>
      <c r="C1566" s="936"/>
      <c r="D1566" s="936"/>
      <c r="E1566" s="936"/>
      <c r="AH1566" s="983"/>
      <c r="AI1566" s="983"/>
      <c r="AJ1566" s="968"/>
      <c r="AL1566" s="937"/>
    </row>
    <row r="1567" spans="2:38" s="930" customFormat="1" ht="20.25" customHeight="1" x14ac:dyDescent="0.2">
      <c r="B1567" s="936"/>
      <c r="C1567" s="936"/>
      <c r="D1567" s="936"/>
      <c r="E1567" s="936"/>
      <c r="AH1567" s="983"/>
      <c r="AI1567" s="983"/>
      <c r="AJ1567" s="968"/>
      <c r="AL1567" s="937"/>
    </row>
    <row r="1568" spans="2:38" s="930" customFormat="1" ht="20.25" customHeight="1" x14ac:dyDescent="0.2">
      <c r="B1568" s="936"/>
      <c r="C1568" s="936"/>
      <c r="D1568" s="936"/>
      <c r="E1568" s="936"/>
      <c r="AH1568" s="983"/>
      <c r="AI1568" s="983"/>
      <c r="AJ1568" s="968"/>
      <c r="AL1568" s="937"/>
    </row>
    <row r="1569" spans="2:38" s="930" customFormat="1" ht="20.25" customHeight="1" x14ac:dyDescent="0.2">
      <c r="B1569" s="936"/>
      <c r="C1569" s="936"/>
      <c r="D1569" s="936"/>
      <c r="E1569" s="936"/>
      <c r="AH1569" s="983"/>
      <c r="AI1569" s="983"/>
      <c r="AJ1569" s="968"/>
      <c r="AL1569" s="937"/>
    </row>
    <row r="1570" spans="2:38" s="930" customFormat="1" ht="20.25" customHeight="1" x14ac:dyDescent="0.2">
      <c r="B1570" s="936"/>
      <c r="C1570" s="936"/>
      <c r="D1570" s="936"/>
      <c r="E1570" s="936"/>
      <c r="AH1570" s="983"/>
      <c r="AI1570" s="983"/>
      <c r="AJ1570" s="968"/>
      <c r="AL1570" s="937"/>
    </row>
    <row r="1571" spans="2:38" s="930" customFormat="1" ht="20.25" customHeight="1" x14ac:dyDescent="0.2">
      <c r="B1571" s="936"/>
      <c r="C1571" s="936"/>
      <c r="D1571" s="936"/>
      <c r="E1571" s="936"/>
      <c r="AH1571" s="983"/>
      <c r="AI1571" s="983"/>
      <c r="AJ1571" s="968"/>
      <c r="AL1571" s="937"/>
    </row>
    <row r="1572" spans="2:38" s="930" customFormat="1" ht="20.25" customHeight="1" x14ac:dyDescent="0.2">
      <c r="B1572" s="936"/>
      <c r="C1572" s="936"/>
      <c r="D1572" s="936"/>
      <c r="E1572" s="936"/>
      <c r="AH1572" s="983"/>
      <c r="AI1572" s="983"/>
      <c r="AJ1572" s="968"/>
      <c r="AL1572" s="937"/>
    </row>
    <row r="1573" spans="2:38" s="930" customFormat="1" ht="20.25" customHeight="1" x14ac:dyDescent="0.2">
      <c r="B1573" s="936"/>
      <c r="C1573" s="936"/>
      <c r="D1573" s="936"/>
      <c r="E1573" s="936"/>
      <c r="AH1573" s="983"/>
      <c r="AI1573" s="983"/>
      <c r="AJ1573" s="968"/>
      <c r="AL1573" s="937"/>
    </row>
    <row r="1574" spans="2:38" s="930" customFormat="1" ht="20.25" customHeight="1" x14ac:dyDescent="0.2">
      <c r="B1574" s="936"/>
      <c r="C1574" s="936"/>
      <c r="D1574" s="936"/>
      <c r="E1574" s="936"/>
      <c r="AH1574" s="983"/>
      <c r="AI1574" s="983"/>
      <c r="AJ1574" s="968"/>
      <c r="AL1574" s="937"/>
    </row>
    <row r="1575" spans="2:38" s="930" customFormat="1" ht="20.25" customHeight="1" x14ac:dyDescent="0.2">
      <c r="B1575" s="936"/>
      <c r="C1575" s="936"/>
      <c r="D1575" s="936"/>
      <c r="E1575" s="936"/>
      <c r="AH1575" s="983"/>
      <c r="AI1575" s="983"/>
      <c r="AJ1575" s="968"/>
      <c r="AL1575" s="937"/>
    </row>
    <row r="1576" spans="2:38" s="930" customFormat="1" ht="20.25" customHeight="1" x14ac:dyDescent="0.2">
      <c r="B1576" s="936"/>
      <c r="C1576" s="936"/>
      <c r="D1576" s="936"/>
      <c r="E1576" s="936"/>
      <c r="AH1576" s="983"/>
      <c r="AI1576" s="983"/>
      <c r="AJ1576" s="968"/>
      <c r="AL1576" s="937"/>
    </row>
    <row r="1577" spans="2:38" s="930" customFormat="1" ht="20.25" customHeight="1" x14ac:dyDescent="0.2">
      <c r="B1577" s="936"/>
      <c r="C1577" s="936"/>
      <c r="D1577" s="936"/>
      <c r="E1577" s="936"/>
      <c r="AH1577" s="983"/>
      <c r="AI1577" s="983"/>
      <c r="AJ1577" s="968"/>
      <c r="AL1577" s="937"/>
    </row>
    <row r="1578" spans="2:38" s="930" customFormat="1" ht="20.25" customHeight="1" x14ac:dyDescent="0.2">
      <c r="B1578" s="936"/>
      <c r="C1578" s="936"/>
      <c r="D1578" s="936"/>
      <c r="E1578" s="936"/>
      <c r="AH1578" s="983"/>
      <c r="AI1578" s="983"/>
      <c r="AJ1578" s="968"/>
      <c r="AL1578" s="937"/>
    </row>
    <row r="1579" spans="2:38" s="930" customFormat="1" ht="20.25" customHeight="1" x14ac:dyDescent="0.2">
      <c r="B1579" s="936"/>
      <c r="C1579" s="936"/>
      <c r="D1579" s="936"/>
      <c r="E1579" s="936"/>
      <c r="AH1579" s="983"/>
      <c r="AI1579" s="983"/>
      <c r="AJ1579" s="968"/>
      <c r="AL1579" s="937"/>
    </row>
    <row r="1580" spans="2:38" s="930" customFormat="1" ht="20.25" customHeight="1" x14ac:dyDescent="0.2">
      <c r="B1580" s="936"/>
      <c r="C1580" s="936"/>
      <c r="D1580" s="936"/>
      <c r="E1580" s="936"/>
      <c r="AH1580" s="983"/>
      <c r="AI1580" s="983"/>
      <c r="AJ1580" s="968"/>
      <c r="AL1580" s="937"/>
    </row>
    <row r="1581" spans="2:38" s="930" customFormat="1" ht="20.25" customHeight="1" x14ac:dyDescent="0.2">
      <c r="B1581" s="936"/>
      <c r="C1581" s="936"/>
      <c r="D1581" s="936"/>
      <c r="E1581" s="936"/>
      <c r="AH1581" s="983"/>
      <c r="AI1581" s="983"/>
      <c r="AJ1581" s="968"/>
      <c r="AL1581" s="937"/>
    </row>
    <row r="1582" spans="2:38" s="930" customFormat="1" ht="20.25" customHeight="1" x14ac:dyDescent="0.2">
      <c r="B1582" s="936"/>
      <c r="C1582" s="936"/>
      <c r="D1582" s="936"/>
      <c r="E1582" s="936"/>
      <c r="AH1582" s="983"/>
      <c r="AI1582" s="983"/>
      <c r="AJ1582" s="968"/>
      <c r="AL1582" s="937"/>
    </row>
    <row r="1583" spans="2:38" s="930" customFormat="1" ht="20.25" customHeight="1" x14ac:dyDescent="0.2">
      <c r="B1583" s="936"/>
      <c r="C1583" s="936"/>
      <c r="D1583" s="936"/>
      <c r="E1583" s="936"/>
      <c r="AH1583" s="983"/>
      <c r="AI1583" s="983"/>
      <c r="AJ1583" s="968"/>
      <c r="AL1583" s="937"/>
    </row>
    <row r="1584" spans="2:38" s="930" customFormat="1" ht="20.25" customHeight="1" x14ac:dyDescent="0.2">
      <c r="B1584" s="936"/>
      <c r="C1584" s="936"/>
      <c r="D1584" s="936"/>
      <c r="E1584" s="936"/>
      <c r="AH1584" s="983"/>
      <c r="AI1584" s="983"/>
      <c r="AJ1584" s="968"/>
      <c r="AL1584" s="937"/>
    </row>
    <row r="1585" spans="2:38" s="930" customFormat="1" ht="20.25" customHeight="1" x14ac:dyDescent="0.2">
      <c r="B1585" s="936"/>
      <c r="C1585" s="936"/>
      <c r="D1585" s="936"/>
      <c r="E1585" s="936"/>
      <c r="AH1585" s="983"/>
      <c r="AI1585" s="983"/>
      <c r="AJ1585" s="968"/>
      <c r="AL1585" s="937"/>
    </row>
    <row r="1586" spans="2:38" s="930" customFormat="1" ht="20.25" customHeight="1" x14ac:dyDescent="0.2">
      <c r="B1586" s="936"/>
      <c r="C1586" s="936"/>
      <c r="D1586" s="936"/>
      <c r="E1586" s="936"/>
      <c r="AH1586" s="983"/>
      <c r="AI1586" s="983"/>
      <c r="AJ1586" s="968"/>
      <c r="AL1586" s="937"/>
    </row>
    <row r="1587" spans="2:38" s="930" customFormat="1" ht="20.25" customHeight="1" x14ac:dyDescent="0.2">
      <c r="B1587" s="936"/>
      <c r="C1587" s="936"/>
      <c r="D1587" s="936"/>
      <c r="E1587" s="936"/>
      <c r="AH1587" s="983"/>
      <c r="AI1587" s="983"/>
      <c r="AJ1587" s="968"/>
      <c r="AL1587" s="937"/>
    </row>
    <row r="1588" spans="2:38" s="930" customFormat="1" ht="20.25" customHeight="1" x14ac:dyDescent="0.2">
      <c r="B1588" s="936"/>
      <c r="C1588" s="936"/>
      <c r="D1588" s="936"/>
      <c r="E1588" s="936"/>
      <c r="AH1588" s="983"/>
      <c r="AI1588" s="983"/>
      <c r="AJ1588" s="968"/>
      <c r="AL1588" s="937"/>
    </row>
    <row r="1589" spans="2:38" s="930" customFormat="1" ht="20.25" customHeight="1" x14ac:dyDescent="0.2">
      <c r="B1589" s="936"/>
      <c r="C1589" s="936"/>
      <c r="D1589" s="936"/>
      <c r="E1589" s="936"/>
      <c r="AH1589" s="983"/>
      <c r="AI1589" s="983"/>
      <c r="AJ1589" s="968"/>
      <c r="AL1589" s="937"/>
    </row>
    <row r="1590" spans="2:38" s="930" customFormat="1" ht="20.25" customHeight="1" x14ac:dyDescent="0.2">
      <c r="B1590" s="936"/>
      <c r="C1590" s="936"/>
      <c r="D1590" s="936"/>
      <c r="E1590" s="936"/>
      <c r="AH1590" s="983"/>
      <c r="AI1590" s="983"/>
      <c r="AJ1590" s="968"/>
      <c r="AL1590" s="937"/>
    </row>
    <row r="1591" spans="2:38" s="930" customFormat="1" ht="20.25" customHeight="1" x14ac:dyDescent="0.2">
      <c r="B1591" s="936"/>
      <c r="C1591" s="936"/>
      <c r="D1591" s="936"/>
      <c r="E1591" s="936"/>
      <c r="AH1591" s="983"/>
      <c r="AI1591" s="983"/>
      <c r="AJ1591" s="968"/>
      <c r="AL1591" s="937"/>
    </row>
    <row r="1592" spans="2:38" s="930" customFormat="1" ht="20.25" customHeight="1" x14ac:dyDescent="0.2">
      <c r="B1592" s="936"/>
      <c r="C1592" s="936"/>
      <c r="D1592" s="936"/>
      <c r="E1592" s="936"/>
      <c r="AH1592" s="983"/>
      <c r="AI1592" s="983"/>
      <c r="AJ1592" s="968"/>
      <c r="AL1592" s="937"/>
    </row>
    <row r="1593" spans="2:38" s="930" customFormat="1" ht="20.25" customHeight="1" x14ac:dyDescent="0.2">
      <c r="B1593" s="936"/>
      <c r="C1593" s="936"/>
      <c r="D1593" s="936"/>
      <c r="E1593" s="936"/>
      <c r="AH1593" s="983"/>
      <c r="AI1593" s="983"/>
      <c r="AJ1593" s="968"/>
      <c r="AL1593" s="937"/>
    </row>
    <row r="1594" spans="2:38" s="930" customFormat="1" ht="20.25" customHeight="1" x14ac:dyDescent="0.2">
      <c r="B1594" s="936"/>
      <c r="C1594" s="936"/>
      <c r="D1594" s="936"/>
      <c r="E1594" s="936"/>
      <c r="AH1594" s="983"/>
      <c r="AI1594" s="983"/>
      <c r="AJ1594" s="968"/>
      <c r="AL1594" s="937"/>
    </row>
    <row r="1595" spans="2:38" s="930" customFormat="1" ht="20.25" customHeight="1" x14ac:dyDescent="0.2">
      <c r="B1595" s="936"/>
      <c r="C1595" s="936"/>
      <c r="D1595" s="936"/>
      <c r="E1595" s="936"/>
      <c r="AH1595" s="983"/>
      <c r="AI1595" s="983"/>
      <c r="AJ1595" s="968"/>
      <c r="AL1595" s="937"/>
    </row>
    <row r="1596" spans="2:38" s="930" customFormat="1" ht="20.25" customHeight="1" x14ac:dyDescent="0.2">
      <c r="B1596" s="936"/>
      <c r="C1596" s="936"/>
      <c r="D1596" s="936"/>
      <c r="E1596" s="936"/>
      <c r="AH1596" s="983"/>
      <c r="AI1596" s="983"/>
      <c r="AJ1596" s="968"/>
      <c r="AL1596" s="937"/>
    </row>
    <row r="1597" spans="2:38" s="930" customFormat="1" ht="20.25" customHeight="1" x14ac:dyDescent="0.2">
      <c r="B1597" s="936"/>
      <c r="C1597" s="936"/>
      <c r="D1597" s="936"/>
      <c r="E1597" s="936"/>
      <c r="AH1597" s="983"/>
      <c r="AI1597" s="983"/>
      <c r="AJ1597" s="968"/>
      <c r="AL1597" s="937"/>
    </row>
    <row r="1598" spans="2:38" s="930" customFormat="1" ht="20.25" customHeight="1" x14ac:dyDescent="0.2">
      <c r="B1598" s="936"/>
      <c r="C1598" s="936"/>
      <c r="D1598" s="936"/>
      <c r="E1598" s="936"/>
      <c r="AH1598" s="983"/>
      <c r="AI1598" s="983"/>
      <c r="AJ1598" s="968"/>
      <c r="AL1598" s="937"/>
    </row>
    <row r="1599" spans="2:38" s="930" customFormat="1" ht="20.25" customHeight="1" x14ac:dyDescent="0.2">
      <c r="B1599" s="936"/>
      <c r="C1599" s="936"/>
      <c r="D1599" s="936"/>
      <c r="E1599" s="936"/>
      <c r="AH1599" s="983"/>
      <c r="AI1599" s="983"/>
      <c r="AJ1599" s="968"/>
      <c r="AL1599" s="937"/>
    </row>
    <row r="1600" spans="2:38" s="930" customFormat="1" ht="20.25" customHeight="1" x14ac:dyDescent="0.2">
      <c r="B1600" s="936"/>
      <c r="C1600" s="936"/>
      <c r="D1600" s="936"/>
      <c r="E1600" s="936"/>
      <c r="AH1600" s="983"/>
      <c r="AI1600" s="983"/>
      <c r="AJ1600" s="968"/>
      <c r="AL1600" s="937"/>
    </row>
    <row r="1601" spans="2:38" s="930" customFormat="1" ht="20.25" customHeight="1" x14ac:dyDescent="0.2">
      <c r="B1601" s="936"/>
      <c r="C1601" s="936"/>
      <c r="D1601" s="936"/>
      <c r="E1601" s="936"/>
      <c r="AH1601" s="983"/>
      <c r="AI1601" s="983"/>
      <c r="AJ1601" s="968"/>
      <c r="AL1601" s="937"/>
    </row>
    <row r="1602" spans="2:38" s="930" customFormat="1" ht="20.25" customHeight="1" x14ac:dyDescent="0.2">
      <c r="B1602" s="936"/>
      <c r="C1602" s="936"/>
      <c r="D1602" s="936"/>
      <c r="E1602" s="936"/>
      <c r="AH1602" s="983"/>
      <c r="AI1602" s="983"/>
      <c r="AJ1602" s="968"/>
      <c r="AL1602" s="937"/>
    </row>
    <row r="1603" spans="2:38" s="930" customFormat="1" ht="20.25" customHeight="1" x14ac:dyDescent="0.2">
      <c r="B1603" s="936"/>
      <c r="C1603" s="936"/>
      <c r="D1603" s="936"/>
      <c r="E1603" s="936"/>
      <c r="AH1603" s="983"/>
      <c r="AI1603" s="983"/>
      <c r="AJ1603" s="968"/>
      <c r="AL1603" s="937"/>
    </row>
    <row r="1604" spans="2:38" s="930" customFormat="1" ht="20.25" customHeight="1" x14ac:dyDescent="0.2">
      <c r="B1604" s="936"/>
      <c r="C1604" s="936"/>
      <c r="D1604" s="936"/>
      <c r="E1604" s="936"/>
      <c r="AH1604" s="983"/>
      <c r="AI1604" s="983"/>
      <c r="AJ1604" s="968"/>
      <c r="AL1604" s="937"/>
    </row>
    <row r="1605" spans="2:38" s="930" customFormat="1" ht="20.25" customHeight="1" x14ac:dyDescent="0.2">
      <c r="B1605" s="936"/>
      <c r="C1605" s="936"/>
      <c r="D1605" s="936"/>
      <c r="E1605" s="936"/>
      <c r="AH1605" s="983"/>
      <c r="AI1605" s="983"/>
      <c r="AJ1605" s="968"/>
      <c r="AL1605" s="937"/>
    </row>
    <row r="1606" spans="2:38" s="930" customFormat="1" ht="20.25" customHeight="1" x14ac:dyDescent="0.2">
      <c r="B1606" s="936"/>
      <c r="C1606" s="936"/>
      <c r="D1606" s="936"/>
      <c r="E1606" s="936"/>
      <c r="AH1606" s="983"/>
      <c r="AI1606" s="983"/>
      <c r="AJ1606" s="968"/>
      <c r="AL1606" s="937"/>
    </row>
    <row r="1607" spans="2:38" s="930" customFormat="1" ht="20.25" customHeight="1" x14ac:dyDescent="0.2">
      <c r="B1607" s="936"/>
      <c r="C1607" s="936"/>
      <c r="D1607" s="936"/>
      <c r="E1607" s="936"/>
      <c r="AH1607" s="983"/>
      <c r="AI1607" s="983"/>
      <c r="AJ1607" s="968"/>
      <c r="AL1607" s="937"/>
    </row>
    <row r="1608" spans="2:38" s="930" customFormat="1" ht="20.25" customHeight="1" x14ac:dyDescent="0.2">
      <c r="B1608" s="936"/>
      <c r="C1608" s="936"/>
      <c r="D1608" s="936"/>
      <c r="E1608" s="936"/>
      <c r="AH1608" s="983"/>
      <c r="AI1608" s="983"/>
      <c r="AJ1608" s="968"/>
      <c r="AL1608" s="937"/>
    </row>
    <row r="1609" spans="2:38" s="930" customFormat="1" ht="20.25" customHeight="1" x14ac:dyDescent="0.2">
      <c r="B1609" s="936"/>
      <c r="C1609" s="936"/>
      <c r="D1609" s="936"/>
      <c r="E1609" s="936"/>
      <c r="AH1609" s="983"/>
      <c r="AI1609" s="983"/>
      <c r="AJ1609" s="968"/>
      <c r="AL1609" s="937"/>
    </row>
    <row r="1610" spans="2:38" s="930" customFormat="1" ht="20.25" customHeight="1" x14ac:dyDescent="0.2">
      <c r="B1610" s="936"/>
      <c r="C1610" s="936"/>
      <c r="D1610" s="936"/>
      <c r="E1610" s="936"/>
      <c r="AH1610" s="983"/>
      <c r="AI1610" s="983"/>
      <c r="AJ1610" s="968"/>
      <c r="AL1610" s="937"/>
    </row>
    <row r="1611" spans="2:38" s="930" customFormat="1" ht="20.25" customHeight="1" x14ac:dyDescent="0.2">
      <c r="B1611" s="936"/>
      <c r="C1611" s="936"/>
      <c r="D1611" s="936"/>
      <c r="E1611" s="936"/>
      <c r="AH1611" s="983"/>
      <c r="AI1611" s="983"/>
      <c r="AJ1611" s="968"/>
      <c r="AL1611" s="937"/>
    </row>
    <row r="1612" spans="2:38" s="930" customFormat="1" ht="20.25" customHeight="1" x14ac:dyDescent="0.2">
      <c r="B1612" s="936"/>
      <c r="C1612" s="936"/>
      <c r="D1612" s="936"/>
      <c r="E1612" s="936"/>
      <c r="AH1612" s="983"/>
      <c r="AI1612" s="983"/>
      <c r="AJ1612" s="968"/>
      <c r="AL1612" s="937"/>
    </row>
    <row r="1613" spans="2:38" s="930" customFormat="1" ht="20.25" customHeight="1" x14ac:dyDescent="0.2">
      <c r="B1613" s="936"/>
      <c r="C1613" s="936"/>
      <c r="D1613" s="936"/>
      <c r="E1613" s="936"/>
      <c r="AH1613" s="983"/>
      <c r="AI1613" s="983"/>
      <c r="AJ1613" s="968"/>
      <c r="AL1613" s="937"/>
    </row>
    <row r="1614" spans="2:38" s="930" customFormat="1" ht="20.25" customHeight="1" x14ac:dyDescent="0.2">
      <c r="B1614" s="936"/>
      <c r="C1614" s="936"/>
      <c r="D1614" s="936"/>
      <c r="E1614" s="936"/>
      <c r="AH1614" s="983"/>
      <c r="AI1614" s="983"/>
      <c r="AJ1614" s="968"/>
      <c r="AL1614" s="937"/>
    </row>
    <row r="1615" spans="2:38" s="930" customFormat="1" ht="20.25" customHeight="1" x14ac:dyDescent="0.2">
      <c r="B1615" s="936"/>
      <c r="C1615" s="936"/>
      <c r="D1615" s="936"/>
      <c r="E1615" s="936"/>
      <c r="AH1615" s="983"/>
      <c r="AI1615" s="983"/>
      <c r="AJ1615" s="968"/>
      <c r="AL1615" s="937"/>
    </row>
    <row r="1616" spans="2:38" s="930" customFormat="1" ht="20.25" customHeight="1" x14ac:dyDescent="0.2">
      <c r="B1616" s="936"/>
      <c r="C1616" s="936"/>
      <c r="D1616" s="936"/>
      <c r="E1616" s="936"/>
      <c r="AH1616" s="983"/>
      <c r="AI1616" s="983"/>
      <c r="AJ1616" s="968"/>
      <c r="AL1616" s="937"/>
    </row>
    <row r="1617" spans="2:38" s="930" customFormat="1" ht="20.25" customHeight="1" x14ac:dyDescent="0.2">
      <c r="B1617" s="936"/>
      <c r="C1617" s="936"/>
      <c r="D1617" s="936"/>
      <c r="E1617" s="936"/>
      <c r="AH1617" s="983"/>
      <c r="AI1617" s="983"/>
      <c r="AJ1617" s="968"/>
      <c r="AL1617" s="937"/>
    </row>
    <row r="1618" spans="2:38" s="930" customFormat="1" ht="20.25" customHeight="1" x14ac:dyDescent="0.2">
      <c r="B1618" s="936"/>
      <c r="C1618" s="936"/>
      <c r="D1618" s="936"/>
      <c r="E1618" s="936"/>
      <c r="AH1618" s="983"/>
      <c r="AI1618" s="983"/>
      <c r="AJ1618" s="968"/>
      <c r="AL1618" s="937"/>
    </row>
    <row r="1619" spans="2:38" s="930" customFormat="1" ht="20.25" customHeight="1" x14ac:dyDescent="0.2">
      <c r="B1619" s="936"/>
      <c r="C1619" s="936"/>
      <c r="D1619" s="936"/>
      <c r="E1619" s="936"/>
      <c r="AH1619" s="983"/>
      <c r="AI1619" s="983"/>
      <c r="AJ1619" s="968"/>
      <c r="AL1619" s="937"/>
    </row>
    <row r="1620" spans="2:38" s="930" customFormat="1" ht="20.25" customHeight="1" x14ac:dyDescent="0.2">
      <c r="B1620" s="936"/>
      <c r="C1620" s="936"/>
      <c r="D1620" s="936"/>
      <c r="E1620" s="936"/>
      <c r="AH1620" s="983"/>
      <c r="AI1620" s="983"/>
      <c r="AJ1620" s="968"/>
      <c r="AL1620" s="937"/>
    </row>
    <row r="1621" spans="2:38" s="930" customFormat="1" ht="20.25" customHeight="1" x14ac:dyDescent="0.2">
      <c r="B1621" s="936"/>
      <c r="C1621" s="936"/>
      <c r="D1621" s="936"/>
      <c r="E1621" s="936"/>
      <c r="AH1621" s="983"/>
      <c r="AI1621" s="983"/>
      <c r="AJ1621" s="968"/>
      <c r="AL1621" s="937"/>
    </row>
    <row r="1622" spans="2:38" s="930" customFormat="1" ht="20.25" customHeight="1" x14ac:dyDescent="0.2">
      <c r="B1622" s="936"/>
      <c r="C1622" s="936"/>
      <c r="D1622" s="936"/>
      <c r="E1622" s="936"/>
      <c r="AH1622" s="983"/>
      <c r="AI1622" s="983"/>
      <c r="AJ1622" s="968"/>
      <c r="AL1622" s="937"/>
    </row>
    <row r="1623" spans="2:38" s="930" customFormat="1" ht="20.25" customHeight="1" x14ac:dyDescent="0.2">
      <c r="B1623" s="936"/>
      <c r="C1623" s="936"/>
      <c r="D1623" s="936"/>
      <c r="E1623" s="936"/>
      <c r="AH1623" s="983"/>
      <c r="AI1623" s="983"/>
      <c r="AJ1623" s="968"/>
      <c r="AL1623" s="937"/>
    </row>
    <row r="1624" spans="2:38" s="930" customFormat="1" ht="20.25" customHeight="1" x14ac:dyDescent="0.2">
      <c r="B1624" s="936"/>
      <c r="C1624" s="936"/>
      <c r="D1624" s="936"/>
      <c r="E1624" s="936"/>
      <c r="AH1624" s="983"/>
      <c r="AI1624" s="983"/>
      <c r="AJ1624" s="968"/>
      <c r="AL1624" s="937"/>
    </row>
    <row r="1625" spans="2:38" s="930" customFormat="1" ht="20.25" customHeight="1" x14ac:dyDescent="0.2">
      <c r="B1625" s="936"/>
      <c r="C1625" s="936"/>
      <c r="D1625" s="936"/>
      <c r="E1625" s="936"/>
      <c r="AH1625" s="983"/>
      <c r="AI1625" s="983"/>
      <c r="AJ1625" s="968"/>
      <c r="AL1625" s="937"/>
    </row>
    <row r="1626" spans="2:38" s="930" customFormat="1" ht="20.25" customHeight="1" x14ac:dyDescent="0.2">
      <c r="B1626" s="936"/>
      <c r="C1626" s="936"/>
      <c r="D1626" s="936"/>
      <c r="E1626" s="936"/>
      <c r="AH1626" s="983"/>
      <c r="AI1626" s="983"/>
      <c r="AJ1626" s="968"/>
      <c r="AL1626" s="937"/>
    </row>
    <row r="1627" spans="2:38" s="930" customFormat="1" ht="20.25" customHeight="1" x14ac:dyDescent="0.2">
      <c r="B1627" s="936"/>
      <c r="C1627" s="936"/>
      <c r="D1627" s="936"/>
      <c r="E1627" s="936"/>
      <c r="AH1627" s="983"/>
      <c r="AI1627" s="983"/>
      <c r="AJ1627" s="968"/>
      <c r="AL1627" s="937"/>
    </row>
    <row r="1628" spans="2:38" s="930" customFormat="1" ht="20.25" customHeight="1" x14ac:dyDescent="0.2">
      <c r="B1628" s="936"/>
      <c r="C1628" s="936"/>
      <c r="D1628" s="936"/>
      <c r="E1628" s="936"/>
      <c r="AH1628" s="983"/>
      <c r="AI1628" s="983"/>
      <c r="AJ1628" s="968"/>
      <c r="AL1628" s="937"/>
    </row>
    <row r="1629" spans="2:38" s="930" customFormat="1" ht="20.25" customHeight="1" x14ac:dyDescent="0.2">
      <c r="B1629" s="936"/>
      <c r="C1629" s="936"/>
      <c r="D1629" s="936"/>
      <c r="E1629" s="936"/>
      <c r="AH1629" s="983"/>
      <c r="AI1629" s="983"/>
      <c r="AJ1629" s="968"/>
      <c r="AL1629" s="937"/>
    </row>
    <row r="1630" spans="2:38" s="930" customFormat="1" ht="20.25" customHeight="1" x14ac:dyDescent="0.2">
      <c r="B1630" s="936"/>
      <c r="C1630" s="936"/>
      <c r="D1630" s="936"/>
      <c r="E1630" s="936"/>
      <c r="AH1630" s="983"/>
      <c r="AI1630" s="983"/>
      <c r="AJ1630" s="968"/>
      <c r="AL1630" s="937"/>
    </row>
    <row r="1631" spans="2:38" s="930" customFormat="1" ht="20.25" customHeight="1" x14ac:dyDescent="0.2">
      <c r="B1631" s="936"/>
      <c r="C1631" s="936"/>
      <c r="D1631" s="936"/>
      <c r="E1631" s="936"/>
      <c r="AH1631" s="983"/>
      <c r="AI1631" s="983"/>
      <c r="AJ1631" s="968"/>
      <c r="AL1631" s="937"/>
    </row>
    <row r="1632" spans="2:38" s="930" customFormat="1" ht="20.25" customHeight="1" x14ac:dyDescent="0.2">
      <c r="B1632" s="936"/>
      <c r="C1632" s="936"/>
      <c r="D1632" s="936"/>
      <c r="E1632" s="936"/>
      <c r="AH1632" s="983"/>
      <c r="AI1632" s="983"/>
      <c r="AJ1632" s="968"/>
      <c r="AL1632" s="937"/>
    </row>
    <row r="1633" spans="2:38" s="930" customFormat="1" ht="20.25" customHeight="1" x14ac:dyDescent="0.2">
      <c r="B1633" s="936"/>
      <c r="C1633" s="936"/>
      <c r="D1633" s="936"/>
      <c r="E1633" s="936"/>
      <c r="AH1633" s="983"/>
      <c r="AI1633" s="983"/>
      <c r="AJ1633" s="968"/>
      <c r="AL1633" s="937"/>
    </row>
    <row r="1634" spans="2:38" s="930" customFormat="1" ht="20.25" customHeight="1" x14ac:dyDescent="0.2">
      <c r="B1634" s="936"/>
      <c r="C1634" s="936"/>
      <c r="D1634" s="936"/>
      <c r="E1634" s="936"/>
      <c r="AH1634" s="983"/>
      <c r="AI1634" s="983"/>
      <c r="AJ1634" s="968"/>
      <c r="AL1634" s="937"/>
    </row>
    <row r="1635" spans="2:38" s="930" customFormat="1" ht="20.25" customHeight="1" x14ac:dyDescent="0.2">
      <c r="B1635" s="936"/>
      <c r="C1635" s="936"/>
      <c r="D1635" s="936"/>
      <c r="E1635" s="936"/>
      <c r="AH1635" s="983"/>
      <c r="AI1635" s="983"/>
      <c r="AJ1635" s="968"/>
      <c r="AL1635" s="937"/>
    </row>
    <row r="1636" spans="2:38" s="930" customFormat="1" ht="20.25" customHeight="1" x14ac:dyDescent="0.2">
      <c r="B1636" s="936"/>
      <c r="C1636" s="936"/>
      <c r="D1636" s="936"/>
      <c r="E1636" s="936"/>
      <c r="AH1636" s="983"/>
      <c r="AI1636" s="983"/>
      <c r="AJ1636" s="968"/>
      <c r="AL1636" s="937"/>
    </row>
    <row r="1637" spans="2:38" s="930" customFormat="1" ht="20.25" customHeight="1" x14ac:dyDescent="0.2">
      <c r="B1637" s="936"/>
      <c r="C1637" s="936"/>
      <c r="D1637" s="936"/>
      <c r="E1637" s="936"/>
      <c r="AH1637" s="983"/>
      <c r="AI1637" s="983"/>
      <c r="AJ1637" s="968"/>
      <c r="AL1637" s="937"/>
    </row>
    <row r="1638" spans="2:38" s="930" customFormat="1" ht="20.25" customHeight="1" x14ac:dyDescent="0.2">
      <c r="B1638" s="936"/>
      <c r="C1638" s="936"/>
      <c r="D1638" s="936"/>
      <c r="E1638" s="936"/>
      <c r="AH1638" s="983"/>
      <c r="AI1638" s="983"/>
      <c r="AJ1638" s="968"/>
      <c r="AL1638" s="937"/>
    </row>
    <row r="1639" spans="2:38" s="930" customFormat="1" ht="20.25" customHeight="1" x14ac:dyDescent="0.2">
      <c r="B1639" s="936"/>
      <c r="C1639" s="936"/>
      <c r="D1639" s="936"/>
      <c r="E1639" s="936"/>
      <c r="AH1639" s="983"/>
      <c r="AI1639" s="983"/>
      <c r="AJ1639" s="968"/>
      <c r="AL1639" s="937"/>
    </row>
    <row r="1640" spans="2:38" s="930" customFormat="1" ht="20.25" customHeight="1" x14ac:dyDescent="0.2">
      <c r="B1640" s="936"/>
      <c r="C1640" s="936"/>
      <c r="D1640" s="936"/>
      <c r="E1640" s="936"/>
      <c r="AH1640" s="983"/>
      <c r="AI1640" s="983"/>
      <c r="AJ1640" s="968"/>
      <c r="AL1640" s="937"/>
    </row>
    <row r="1641" spans="2:38" s="930" customFormat="1" ht="20.25" customHeight="1" x14ac:dyDescent="0.2">
      <c r="B1641" s="936"/>
      <c r="C1641" s="936"/>
      <c r="D1641" s="936"/>
      <c r="E1641" s="936"/>
      <c r="AH1641" s="983"/>
      <c r="AI1641" s="983"/>
      <c r="AJ1641" s="968"/>
      <c r="AL1641" s="937"/>
    </row>
    <row r="1642" spans="2:38" s="930" customFormat="1" ht="20.25" customHeight="1" x14ac:dyDescent="0.2">
      <c r="B1642" s="936"/>
      <c r="C1642" s="936"/>
      <c r="D1642" s="936"/>
      <c r="E1642" s="936"/>
      <c r="AH1642" s="983"/>
      <c r="AI1642" s="983"/>
      <c r="AJ1642" s="968"/>
      <c r="AL1642" s="937"/>
    </row>
    <row r="1643" spans="2:38" s="930" customFormat="1" ht="20.25" customHeight="1" x14ac:dyDescent="0.2">
      <c r="B1643" s="936"/>
      <c r="C1643" s="936"/>
      <c r="D1643" s="936"/>
      <c r="E1643" s="936"/>
      <c r="AH1643" s="983"/>
      <c r="AI1643" s="983"/>
      <c r="AJ1643" s="968"/>
      <c r="AL1643" s="937"/>
    </row>
    <row r="1644" spans="2:38" s="930" customFormat="1" ht="20.25" customHeight="1" x14ac:dyDescent="0.2">
      <c r="B1644" s="936"/>
      <c r="C1644" s="936"/>
      <c r="D1644" s="936"/>
      <c r="E1644" s="936"/>
      <c r="AH1644" s="983"/>
      <c r="AI1644" s="983"/>
      <c r="AJ1644" s="968"/>
      <c r="AL1644" s="937"/>
    </row>
    <row r="1645" spans="2:38" s="930" customFormat="1" ht="20.25" customHeight="1" x14ac:dyDescent="0.2">
      <c r="B1645" s="936"/>
      <c r="C1645" s="936"/>
      <c r="D1645" s="936"/>
      <c r="E1645" s="936"/>
      <c r="AH1645" s="983"/>
      <c r="AI1645" s="983"/>
      <c r="AJ1645" s="968"/>
      <c r="AL1645" s="937"/>
    </row>
    <row r="1646" spans="2:38" s="930" customFormat="1" ht="20.25" customHeight="1" x14ac:dyDescent="0.2">
      <c r="B1646" s="936"/>
      <c r="C1646" s="936"/>
      <c r="D1646" s="936"/>
      <c r="E1646" s="936"/>
      <c r="AH1646" s="983"/>
      <c r="AI1646" s="983"/>
      <c r="AJ1646" s="968"/>
      <c r="AL1646" s="937"/>
    </row>
    <row r="1647" spans="2:38" s="930" customFormat="1" ht="20.25" customHeight="1" x14ac:dyDescent="0.2">
      <c r="B1647" s="936"/>
      <c r="C1647" s="936"/>
      <c r="D1647" s="936"/>
      <c r="E1647" s="936"/>
      <c r="AH1647" s="983"/>
      <c r="AI1647" s="983"/>
      <c r="AJ1647" s="968"/>
      <c r="AL1647" s="937"/>
    </row>
    <row r="1648" spans="2:38" s="930" customFormat="1" ht="20.25" customHeight="1" x14ac:dyDescent="0.2">
      <c r="B1648" s="936"/>
      <c r="C1648" s="936"/>
      <c r="D1648" s="936"/>
      <c r="E1648" s="936"/>
      <c r="AH1648" s="983"/>
      <c r="AI1648" s="983"/>
      <c r="AJ1648" s="968"/>
      <c r="AL1648" s="937"/>
    </row>
    <row r="1649" spans="2:38" s="930" customFormat="1" ht="20.25" customHeight="1" x14ac:dyDescent="0.2">
      <c r="B1649" s="936"/>
      <c r="C1649" s="936"/>
      <c r="D1649" s="936"/>
      <c r="E1649" s="936"/>
      <c r="AH1649" s="983"/>
      <c r="AI1649" s="983"/>
      <c r="AJ1649" s="968"/>
      <c r="AL1649" s="937"/>
    </row>
    <row r="1650" spans="2:38" s="930" customFormat="1" ht="20.25" customHeight="1" x14ac:dyDescent="0.2">
      <c r="B1650" s="936"/>
      <c r="C1650" s="936"/>
      <c r="D1650" s="936"/>
      <c r="E1650" s="936"/>
      <c r="AH1650" s="983"/>
      <c r="AI1650" s="983"/>
      <c r="AJ1650" s="968"/>
      <c r="AL1650" s="937"/>
    </row>
    <row r="1651" spans="2:38" s="930" customFormat="1" ht="20.25" customHeight="1" x14ac:dyDescent="0.2">
      <c r="B1651" s="936"/>
      <c r="C1651" s="936"/>
      <c r="D1651" s="936"/>
      <c r="E1651" s="936"/>
      <c r="AH1651" s="983"/>
      <c r="AI1651" s="983"/>
      <c r="AJ1651" s="968"/>
      <c r="AL1651" s="937"/>
    </row>
    <row r="1652" spans="2:38" s="930" customFormat="1" ht="20.25" customHeight="1" x14ac:dyDescent="0.2">
      <c r="B1652" s="936"/>
      <c r="C1652" s="936"/>
      <c r="D1652" s="936"/>
      <c r="E1652" s="936"/>
      <c r="AH1652" s="983"/>
      <c r="AI1652" s="983"/>
      <c r="AJ1652" s="968"/>
      <c r="AL1652" s="937"/>
    </row>
    <row r="1653" spans="2:38" s="930" customFormat="1" ht="20.25" customHeight="1" x14ac:dyDescent="0.2">
      <c r="B1653" s="936"/>
      <c r="C1653" s="936"/>
      <c r="D1653" s="936"/>
      <c r="E1653" s="936"/>
      <c r="AH1653" s="983"/>
      <c r="AI1653" s="983"/>
      <c r="AJ1653" s="968"/>
      <c r="AL1653" s="937"/>
    </row>
    <row r="1654" spans="2:38" s="930" customFormat="1" ht="20.25" customHeight="1" x14ac:dyDescent="0.2">
      <c r="B1654" s="936"/>
      <c r="C1654" s="936"/>
      <c r="D1654" s="936"/>
      <c r="E1654" s="936"/>
      <c r="AH1654" s="983"/>
      <c r="AI1654" s="983"/>
      <c r="AJ1654" s="968"/>
      <c r="AL1654" s="937"/>
    </row>
    <row r="1655" spans="2:38" s="930" customFormat="1" ht="20.25" customHeight="1" x14ac:dyDescent="0.2">
      <c r="B1655" s="936"/>
      <c r="C1655" s="936"/>
      <c r="D1655" s="936"/>
      <c r="E1655" s="936"/>
      <c r="AH1655" s="983"/>
      <c r="AI1655" s="983"/>
      <c r="AJ1655" s="968"/>
      <c r="AL1655" s="937"/>
    </row>
    <row r="1656" spans="2:38" s="930" customFormat="1" ht="20.25" customHeight="1" x14ac:dyDescent="0.2">
      <c r="B1656" s="936"/>
      <c r="C1656" s="936"/>
      <c r="D1656" s="936"/>
      <c r="E1656" s="936"/>
      <c r="AH1656" s="983"/>
      <c r="AI1656" s="983"/>
      <c r="AJ1656" s="968"/>
      <c r="AL1656" s="937"/>
    </row>
    <row r="1657" spans="2:38" s="930" customFormat="1" ht="20.25" customHeight="1" x14ac:dyDescent="0.2">
      <c r="B1657" s="936"/>
      <c r="C1657" s="936"/>
      <c r="D1657" s="936"/>
      <c r="E1657" s="936"/>
      <c r="AH1657" s="983"/>
      <c r="AI1657" s="983"/>
      <c r="AJ1657" s="968"/>
      <c r="AL1657" s="937"/>
    </row>
    <row r="1658" spans="2:38" s="930" customFormat="1" ht="20.25" customHeight="1" x14ac:dyDescent="0.2">
      <c r="B1658" s="936"/>
      <c r="C1658" s="936"/>
      <c r="D1658" s="936"/>
      <c r="E1658" s="936"/>
      <c r="AH1658" s="983"/>
      <c r="AI1658" s="983"/>
      <c r="AJ1658" s="968"/>
      <c r="AL1658" s="937"/>
    </row>
    <row r="1659" spans="2:38" s="930" customFormat="1" ht="20.25" customHeight="1" x14ac:dyDescent="0.2">
      <c r="B1659" s="936"/>
      <c r="C1659" s="936"/>
      <c r="D1659" s="936"/>
      <c r="E1659" s="936"/>
      <c r="AH1659" s="983"/>
      <c r="AI1659" s="983"/>
      <c r="AJ1659" s="968"/>
      <c r="AL1659" s="937"/>
    </row>
    <row r="1660" spans="2:38" s="930" customFormat="1" ht="20.25" customHeight="1" x14ac:dyDescent="0.2">
      <c r="B1660" s="936"/>
      <c r="C1660" s="936"/>
      <c r="D1660" s="936"/>
      <c r="E1660" s="936"/>
      <c r="AH1660" s="983"/>
      <c r="AI1660" s="983"/>
      <c r="AJ1660" s="968"/>
      <c r="AL1660" s="937"/>
    </row>
    <row r="1661" spans="2:38" s="930" customFormat="1" ht="20.25" customHeight="1" x14ac:dyDescent="0.2">
      <c r="B1661" s="936"/>
      <c r="C1661" s="936"/>
      <c r="D1661" s="936"/>
      <c r="E1661" s="936"/>
      <c r="AH1661" s="983"/>
      <c r="AI1661" s="983"/>
      <c r="AJ1661" s="968"/>
      <c r="AL1661" s="937"/>
    </row>
    <row r="1662" spans="2:38" s="930" customFormat="1" ht="20.25" customHeight="1" x14ac:dyDescent="0.2">
      <c r="B1662" s="936"/>
      <c r="C1662" s="936"/>
      <c r="D1662" s="936"/>
      <c r="E1662" s="936"/>
      <c r="AH1662" s="983"/>
      <c r="AI1662" s="983"/>
      <c r="AJ1662" s="968"/>
      <c r="AL1662" s="937"/>
    </row>
    <row r="1663" spans="2:38" s="930" customFormat="1" ht="20.25" customHeight="1" x14ac:dyDescent="0.2">
      <c r="B1663" s="936"/>
      <c r="C1663" s="936"/>
      <c r="D1663" s="936"/>
      <c r="E1663" s="936"/>
      <c r="AH1663" s="983"/>
      <c r="AI1663" s="983"/>
      <c r="AJ1663" s="968"/>
      <c r="AL1663" s="937"/>
    </row>
    <row r="1664" spans="2:38" s="930" customFormat="1" ht="20.25" customHeight="1" x14ac:dyDescent="0.2">
      <c r="B1664" s="936"/>
      <c r="C1664" s="936"/>
      <c r="D1664" s="936"/>
      <c r="E1664" s="936"/>
      <c r="AH1664" s="983"/>
      <c r="AI1664" s="983"/>
      <c r="AJ1664" s="968"/>
      <c r="AL1664" s="937"/>
    </row>
    <row r="1665" spans="2:38" s="930" customFormat="1" ht="20.25" customHeight="1" x14ac:dyDescent="0.2">
      <c r="B1665" s="936"/>
      <c r="C1665" s="936"/>
      <c r="D1665" s="936"/>
      <c r="E1665" s="936"/>
      <c r="AH1665" s="983"/>
      <c r="AI1665" s="983"/>
      <c r="AJ1665" s="968"/>
      <c r="AL1665" s="937"/>
    </row>
    <row r="1666" spans="2:38" s="930" customFormat="1" ht="20.25" customHeight="1" x14ac:dyDescent="0.2">
      <c r="B1666" s="936"/>
      <c r="C1666" s="936"/>
      <c r="D1666" s="936"/>
      <c r="E1666" s="936"/>
      <c r="AH1666" s="983"/>
      <c r="AI1666" s="983"/>
      <c r="AJ1666" s="968"/>
      <c r="AL1666" s="937"/>
    </row>
    <row r="1667" spans="2:38" s="930" customFormat="1" ht="20.25" customHeight="1" x14ac:dyDescent="0.2">
      <c r="B1667" s="936"/>
      <c r="C1667" s="936"/>
      <c r="D1667" s="936"/>
      <c r="E1667" s="936"/>
      <c r="AH1667" s="983"/>
      <c r="AI1667" s="983"/>
      <c r="AJ1667" s="968"/>
      <c r="AL1667" s="937"/>
    </row>
    <row r="1668" spans="2:38" s="930" customFormat="1" ht="20.25" customHeight="1" x14ac:dyDescent="0.2">
      <c r="B1668" s="936"/>
      <c r="C1668" s="936"/>
      <c r="D1668" s="936"/>
      <c r="E1668" s="936"/>
      <c r="AH1668" s="983"/>
      <c r="AI1668" s="983"/>
      <c r="AJ1668" s="968"/>
      <c r="AL1668" s="937"/>
    </row>
    <row r="1669" spans="2:38" s="930" customFormat="1" ht="20.25" customHeight="1" x14ac:dyDescent="0.2">
      <c r="B1669" s="936"/>
      <c r="C1669" s="936"/>
      <c r="D1669" s="936"/>
      <c r="E1669" s="936"/>
      <c r="AH1669" s="983"/>
      <c r="AI1669" s="983"/>
      <c r="AJ1669" s="968"/>
      <c r="AL1669" s="937"/>
    </row>
    <row r="1670" spans="2:38" s="930" customFormat="1" ht="20.25" customHeight="1" x14ac:dyDescent="0.2">
      <c r="B1670" s="936"/>
      <c r="C1670" s="936"/>
      <c r="D1670" s="936"/>
      <c r="E1670" s="936"/>
      <c r="AH1670" s="983"/>
      <c r="AI1670" s="983"/>
      <c r="AJ1670" s="968"/>
      <c r="AL1670" s="937"/>
    </row>
    <row r="1671" spans="2:38" s="930" customFormat="1" ht="20.25" customHeight="1" x14ac:dyDescent="0.2">
      <c r="B1671" s="936"/>
      <c r="C1671" s="936"/>
      <c r="D1671" s="936"/>
      <c r="E1671" s="936"/>
      <c r="AH1671" s="983"/>
      <c r="AI1671" s="983"/>
      <c r="AJ1671" s="968"/>
      <c r="AL1671" s="937"/>
    </row>
    <row r="1672" spans="2:38" s="930" customFormat="1" ht="20.25" customHeight="1" x14ac:dyDescent="0.2">
      <c r="B1672" s="936"/>
      <c r="C1672" s="936"/>
      <c r="D1672" s="936"/>
      <c r="E1672" s="936"/>
      <c r="AH1672" s="983"/>
      <c r="AI1672" s="983"/>
      <c r="AJ1672" s="968"/>
      <c r="AL1672" s="937"/>
    </row>
    <row r="1673" spans="2:38" s="930" customFormat="1" ht="20.25" customHeight="1" x14ac:dyDescent="0.2">
      <c r="B1673" s="936"/>
      <c r="C1673" s="936"/>
      <c r="D1673" s="936"/>
      <c r="E1673" s="936"/>
      <c r="AH1673" s="983"/>
      <c r="AI1673" s="983"/>
      <c r="AJ1673" s="968"/>
      <c r="AL1673" s="937"/>
    </row>
    <row r="1674" spans="2:38" s="930" customFormat="1" ht="20.25" customHeight="1" x14ac:dyDescent="0.2">
      <c r="B1674" s="936"/>
      <c r="C1674" s="936"/>
      <c r="D1674" s="936"/>
      <c r="E1674" s="936"/>
      <c r="AH1674" s="983"/>
      <c r="AI1674" s="983"/>
      <c r="AJ1674" s="968"/>
      <c r="AL1674" s="937"/>
    </row>
    <row r="1675" spans="2:38" s="930" customFormat="1" ht="20.25" customHeight="1" x14ac:dyDescent="0.2">
      <c r="B1675" s="936"/>
      <c r="C1675" s="936"/>
      <c r="D1675" s="936"/>
      <c r="E1675" s="936"/>
      <c r="AH1675" s="983"/>
      <c r="AI1675" s="983"/>
      <c r="AJ1675" s="968"/>
      <c r="AL1675" s="937"/>
    </row>
    <row r="1676" spans="2:38" s="930" customFormat="1" ht="20.25" customHeight="1" x14ac:dyDescent="0.2">
      <c r="B1676" s="936"/>
      <c r="C1676" s="936"/>
      <c r="D1676" s="936"/>
      <c r="E1676" s="936"/>
      <c r="AH1676" s="983"/>
      <c r="AI1676" s="983"/>
      <c r="AJ1676" s="968"/>
      <c r="AL1676" s="937"/>
    </row>
    <row r="1677" spans="2:38" s="930" customFormat="1" ht="20.25" customHeight="1" x14ac:dyDescent="0.2">
      <c r="B1677" s="936"/>
      <c r="C1677" s="936"/>
      <c r="D1677" s="936"/>
      <c r="E1677" s="936"/>
      <c r="AH1677" s="983"/>
      <c r="AI1677" s="983"/>
      <c r="AJ1677" s="968"/>
      <c r="AL1677" s="937"/>
    </row>
    <row r="1678" spans="2:38" s="930" customFormat="1" ht="20.25" customHeight="1" x14ac:dyDescent="0.2">
      <c r="B1678" s="936"/>
      <c r="C1678" s="936"/>
      <c r="D1678" s="936"/>
      <c r="E1678" s="936"/>
      <c r="AH1678" s="983"/>
      <c r="AI1678" s="983"/>
      <c r="AJ1678" s="968"/>
      <c r="AL1678" s="937"/>
    </row>
    <row r="1679" spans="2:38" s="930" customFormat="1" ht="20.25" customHeight="1" x14ac:dyDescent="0.2">
      <c r="B1679" s="936"/>
      <c r="C1679" s="936"/>
      <c r="D1679" s="936"/>
      <c r="E1679" s="936"/>
      <c r="AH1679" s="983"/>
      <c r="AI1679" s="983"/>
      <c r="AJ1679" s="968"/>
      <c r="AL1679" s="937"/>
    </row>
    <row r="1680" spans="2:38" s="930" customFormat="1" ht="20.25" customHeight="1" x14ac:dyDescent="0.2">
      <c r="B1680" s="936"/>
      <c r="C1680" s="936"/>
      <c r="D1680" s="936"/>
      <c r="E1680" s="936"/>
      <c r="AH1680" s="983"/>
      <c r="AI1680" s="983"/>
      <c r="AJ1680" s="968"/>
      <c r="AL1680" s="937"/>
    </row>
    <row r="1681" spans="2:38" s="930" customFormat="1" ht="20.25" customHeight="1" x14ac:dyDescent="0.2">
      <c r="B1681" s="936"/>
      <c r="C1681" s="936"/>
      <c r="D1681" s="936"/>
      <c r="E1681" s="936"/>
      <c r="AH1681" s="983"/>
      <c r="AI1681" s="983"/>
      <c r="AJ1681" s="968"/>
      <c r="AL1681" s="937"/>
    </row>
    <row r="1682" spans="2:38" s="930" customFormat="1" ht="20.25" customHeight="1" x14ac:dyDescent="0.2">
      <c r="B1682" s="936"/>
      <c r="C1682" s="936"/>
      <c r="D1682" s="936"/>
      <c r="E1682" s="936"/>
      <c r="AH1682" s="983"/>
      <c r="AI1682" s="983"/>
      <c r="AJ1682" s="968"/>
      <c r="AL1682" s="937"/>
    </row>
    <row r="1683" spans="2:38" s="930" customFormat="1" ht="20.25" customHeight="1" x14ac:dyDescent="0.2">
      <c r="B1683" s="936"/>
      <c r="C1683" s="936"/>
      <c r="D1683" s="936"/>
      <c r="E1683" s="936"/>
      <c r="AH1683" s="983"/>
      <c r="AI1683" s="983"/>
      <c r="AJ1683" s="968"/>
      <c r="AL1683" s="937"/>
    </row>
    <row r="1684" spans="2:38" s="930" customFormat="1" ht="20.25" customHeight="1" x14ac:dyDescent="0.2">
      <c r="B1684" s="936"/>
      <c r="C1684" s="936"/>
      <c r="D1684" s="936"/>
      <c r="E1684" s="936"/>
      <c r="AH1684" s="983"/>
      <c r="AI1684" s="983"/>
      <c r="AJ1684" s="968"/>
      <c r="AL1684" s="937"/>
    </row>
    <row r="1685" spans="2:38" s="930" customFormat="1" ht="20.25" customHeight="1" x14ac:dyDescent="0.2">
      <c r="B1685" s="936"/>
      <c r="C1685" s="936"/>
      <c r="D1685" s="936"/>
      <c r="E1685" s="936"/>
      <c r="AH1685" s="983"/>
      <c r="AI1685" s="983"/>
      <c r="AJ1685" s="968"/>
      <c r="AL1685" s="937"/>
    </row>
    <row r="1686" spans="2:38" s="930" customFormat="1" ht="20.25" customHeight="1" x14ac:dyDescent="0.2">
      <c r="B1686" s="936"/>
      <c r="C1686" s="936"/>
      <c r="D1686" s="936"/>
      <c r="E1686" s="936"/>
      <c r="AH1686" s="983"/>
      <c r="AI1686" s="983"/>
      <c r="AJ1686" s="968"/>
      <c r="AL1686" s="937"/>
    </row>
    <row r="1687" spans="2:38" s="930" customFormat="1" ht="20.25" customHeight="1" x14ac:dyDescent="0.2">
      <c r="B1687" s="936"/>
      <c r="C1687" s="936"/>
      <c r="D1687" s="936"/>
      <c r="E1687" s="936"/>
      <c r="AH1687" s="983"/>
      <c r="AI1687" s="983"/>
      <c r="AJ1687" s="968"/>
      <c r="AL1687" s="937"/>
    </row>
    <row r="1688" spans="2:38" s="930" customFormat="1" ht="20.25" customHeight="1" x14ac:dyDescent="0.2">
      <c r="B1688" s="936"/>
      <c r="C1688" s="936"/>
      <c r="D1688" s="936"/>
      <c r="E1688" s="936"/>
      <c r="AH1688" s="983"/>
      <c r="AI1688" s="983"/>
      <c r="AJ1688" s="968"/>
      <c r="AL1688" s="937"/>
    </row>
    <row r="1689" spans="2:38" s="930" customFormat="1" ht="20.25" customHeight="1" x14ac:dyDescent="0.2">
      <c r="B1689" s="936"/>
      <c r="C1689" s="936"/>
      <c r="D1689" s="936"/>
      <c r="E1689" s="936"/>
      <c r="AH1689" s="983"/>
      <c r="AI1689" s="983"/>
      <c r="AJ1689" s="968"/>
      <c r="AL1689" s="937"/>
    </row>
    <row r="1690" spans="2:38" s="930" customFormat="1" ht="20.25" customHeight="1" x14ac:dyDescent="0.2">
      <c r="B1690" s="936"/>
      <c r="C1690" s="936"/>
      <c r="D1690" s="936"/>
      <c r="E1690" s="936"/>
      <c r="AH1690" s="983"/>
      <c r="AI1690" s="983"/>
      <c r="AJ1690" s="968"/>
      <c r="AL1690" s="937"/>
    </row>
    <row r="1691" spans="2:38" s="930" customFormat="1" ht="20.25" customHeight="1" x14ac:dyDescent="0.2">
      <c r="B1691" s="936"/>
      <c r="C1691" s="936"/>
      <c r="D1691" s="936"/>
      <c r="E1691" s="936"/>
      <c r="AH1691" s="983"/>
      <c r="AI1691" s="983"/>
      <c r="AJ1691" s="968"/>
      <c r="AL1691" s="937"/>
    </row>
    <row r="1692" spans="2:38" s="930" customFormat="1" ht="20.25" customHeight="1" x14ac:dyDescent="0.2">
      <c r="B1692" s="936"/>
      <c r="C1692" s="936"/>
      <c r="D1692" s="936"/>
      <c r="E1692" s="936"/>
      <c r="AH1692" s="983"/>
      <c r="AI1692" s="983"/>
      <c r="AJ1692" s="968"/>
      <c r="AL1692" s="937"/>
    </row>
    <row r="1693" spans="2:38" s="930" customFormat="1" ht="20.25" customHeight="1" x14ac:dyDescent="0.2">
      <c r="B1693" s="936"/>
      <c r="C1693" s="936"/>
      <c r="D1693" s="936"/>
      <c r="E1693" s="936"/>
      <c r="AH1693" s="983"/>
      <c r="AI1693" s="983"/>
      <c r="AJ1693" s="968"/>
      <c r="AL1693" s="937"/>
    </row>
    <row r="1694" spans="2:38" s="930" customFormat="1" ht="20.25" customHeight="1" x14ac:dyDescent="0.2">
      <c r="B1694" s="936"/>
      <c r="C1694" s="936"/>
      <c r="D1694" s="936"/>
      <c r="E1694" s="936"/>
      <c r="AH1694" s="983"/>
      <c r="AI1694" s="983"/>
      <c r="AJ1694" s="968"/>
      <c r="AL1694" s="937"/>
    </row>
    <row r="1695" spans="2:38" s="930" customFormat="1" ht="20.25" customHeight="1" x14ac:dyDescent="0.2">
      <c r="B1695" s="936"/>
      <c r="C1695" s="936"/>
      <c r="D1695" s="936"/>
      <c r="E1695" s="936"/>
      <c r="AH1695" s="983"/>
      <c r="AI1695" s="983"/>
      <c r="AJ1695" s="968"/>
      <c r="AL1695" s="937"/>
    </row>
    <row r="1696" spans="2:38" s="930" customFormat="1" ht="20.25" customHeight="1" x14ac:dyDescent="0.2">
      <c r="B1696" s="936"/>
      <c r="C1696" s="936"/>
      <c r="D1696" s="936"/>
      <c r="E1696" s="936"/>
      <c r="AH1696" s="983"/>
      <c r="AI1696" s="983"/>
      <c r="AJ1696" s="968"/>
      <c r="AL1696" s="937"/>
    </row>
    <row r="1697" spans="2:38" s="930" customFormat="1" ht="20.25" customHeight="1" x14ac:dyDescent="0.2">
      <c r="B1697" s="936"/>
      <c r="C1697" s="936"/>
      <c r="D1697" s="936"/>
      <c r="E1697" s="936"/>
      <c r="AH1697" s="983"/>
      <c r="AI1697" s="983"/>
      <c r="AJ1697" s="968"/>
      <c r="AL1697" s="937"/>
    </row>
    <row r="1698" spans="2:38" s="930" customFormat="1" ht="20.25" customHeight="1" x14ac:dyDescent="0.2">
      <c r="B1698" s="936"/>
      <c r="C1698" s="936"/>
      <c r="D1698" s="936"/>
      <c r="E1698" s="936"/>
      <c r="AH1698" s="983"/>
      <c r="AI1698" s="983"/>
      <c r="AJ1698" s="968"/>
      <c r="AL1698" s="937"/>
    </row>
    <row r="1699" spans="2:38" s="930" customFormat="1" ht="20.25" customHeight="1" x14ac:dyDescent="0.2">
      <c r="B1699" s="936"/>
      <c r="C1699" s="936"/>
      <c r="D1699" s="936"/>
      <c r="E1699" s="936"/>
      <c r="AH1699" s="983"/>
      <c r="AI1699" s="983"/>
      <c r="AJ1699" s="968"/>
      <c r="AL1699" s="937"/>
    </row>
    <row r="1700" spans="2:38" s="930" customFormat="1" ht="20.25" customHeight="1" x14ac:dyDescent="0.2">
      <c r="B1700" s="936"/>
      <c r="C1700" s="936"/>
      <c r="D1700" s="936"/>
      <c r="E1700" s="936"/>
      <c r="AH1700" s="983"/>
      <c r="AI1700" s="983"/>
      <c r="AJ1700" s="968"/>
      <c r="AL1700" s="937"/>
    </row>
    <row r="1701" spans="2:38" s="930" customFormat="1" ht="20.25" customHeight="1" x14ac:dyDescent="0.2">
      <c r="B1701" s="936"/>
      <c r="C1701" s="936"/>
      <c r="D1701" s="936"/>
      <c r="E1701" s="936"/>
      <c r="AH1701" s="983"/>
      <c r="AI1701" s="983"/>
      <c r="AJ1701" s="968"/>
      <c r="AL1701" s="937"/>
    </row>
    <row r="1702" spans="2:38" s="930" customFormat="1" ht="20.25" customHeight="1" x14ac:dyDescent="0.2">
      <c r="B1702" s="936"/>
      <c r="C1702" s="936"/>
      <c r="D1702" s="936"/>
      <c r="E1702" s="936"/>
      <c r="AH1702" s="983"/>
      <c r="AI1702" s="983"/>
      <c r="AJ1702" s="968"/>
      <c r="AL1702" s="937"/>
    </row>
    <row r="1703" spans="2:38" s="930" customFormat="1" ht="20.25" customHeight="1" x14ac:dyDescent="0.2">
      <c r="B1703" s="936"/>
      <c r="C1703" s="936"/>
      <c r="D1703" s="936"/>
      <c r="E1703" s="936"/>
      <c r="AH1703" s="983"/>
      <c r="AI1703" s="983"/>
      <c r="AJ1703" s="968"/>
      <c r="AL1703" s="937"/>
    </row>
    <row r="1704" spans="2:38" s="930" customFormat="1" ht="20.25" customHeight="1" x14ac:dyDescent="0.2">
      <c r="B1704" s="936"/>
      <c r="C1704" s="936"/>
      <c r="D1704" s="936"/>
      <c r="E1704" s="936"/>
      <c r="AH1704" s="983"/>
      <c r="AI1704" s="983"/>
      <c r="AJ1704" s="968"/>
      <c r="AL1704" s="937"/>
    </row>
    <row r="1705" spans="2:38" s="930" customFormat="1" ht="20.25" customHeight="1" x14ac:dyDescent="0.2">
      <c r="B1705" s="936"/>
      <c r="C1705" s="936"/>
      <c r="D1705" s="936"/>
      <c r="E1705" s="936"/>
      <c r="AH1705" s="983"/>
      <c r="AI1705" s="983"/>
      <c r="AJ1705" s="968"/>
      <c r="AL1705" s="937"/>
    </row>
    <row r="1706" spans="2:38" s="930" customFormat="1" ht="20.25" customHeight="1" x14ac:dyDescent="0.2">
      <c r="B1706" s="936"/>
      <c r="C1706" s="936"/>
      <c r="D1706" s="936"/>
      <c r="E1706" s="936"/>
      <c r="AH1706" s="983"/>
      <c r="AI1706" s="983"/>
      <c r="AJ1706" s="968"/>
      <c r="AL1706" s="937"/>
    </row>
    <row r="1707" spans="2:38" s="930" customFormat="1" ht="20.25" customHeight="1" x14ac:dyDescent="0.2">
      <c r="B1707" s="936"/>
      <c r="C1707" s="936"/>
      <c r="D1707" s="936"/>
      <c r="E1707" s="936"/>
      <c r="AH1707" s="983"/>
      <c r="AI1707" s="983"/>
      <c r="AJ1707" s="968"/>
      <c r="AL1707" s="937"/>
    </row>
    <row r="1708" spans="2:38" s="930" customFormat="1" ht="20.25" customHeight="1" x14ac:dyDescent="0.2">
      <c r="B1708" s="936"/>
      <c r="C1708" s="936"/>
      <c r="D1708" s="936"/>
      <c r="E1708" s="936"/>
      <c r="AH1708" s="983"/>
      <c r="AI1708" s="983"/>
      <c r="AJ1708" s="968"/>
      <c r="AL1708" s="937"/>
    </row>
    <row r="1709" spans="2:38" s="930" customFormat="1" ht="20.25" customHeight="1" x14ac:dyDescent="0.2">
      <c r="B1709" s="936"/>
      <c r="C1709" s="936"/>
      <c r="D1709" s="936"/>
      <c r="E1709" s="936"/>
      <c r="AH1709" s="983"/>
      <c r="AI1709" s="983"/>
      <c r="AJ1709" s="968"/>
      <c r="AL1709" s="937"/>
    </row>
    <row r="1710" spans="2:38" s="930" customFormat="1" ht="20.25" customHeight="1" x14ac:dyDescent="0.2">
      <c r="B1710" s="936"/>
      <c r="C1710" s="936"/>
      <c r="D1710" s="936"/>
      <c r="E1710" s="936"/>
      <c r="AH1710" s="983"/>
      <c r="AI1710" s="983"/>
      <c r="AJ1710" s="968"/>
      <c r="AL1710" s="937"/>
    </row>
    <row r="1711" spans="2:38" s="930" customFormat="1" ht="20.25" customHeight="1" x14ac:dyDescent="0.2">
      <c r="B1711" s="936"/>
      <c r="C1711" s="936"/>
      <c r="D1711" s="936"/>
      <c r="E1711" s="936"/>
      <c r="AH1711" s="983"/>
      <c r="AI1711" s="983"/>
      <c r="AJ1711" s="968"/>
      <c r="AL1711" s="937"/>
    </row>
    <row r="1712" spans="2:38" s="930" customFormat="1" ht="20.25" customHeight="1" x14ac:dyDescent="0.2">
      <c r="B1712" s="936"/>
      <c r="C1712" s="936"/>
      <c r="D1712" s="936"/>
      <c r="E1712" s="936"/>
      <c r="AH1712" s="983"/>
      <c r="AI1712" s="983"/>
      <c r="AJ1712" s="968"/>
      <c r="AL1712" s="937"/>
    </row>
    <row r="1713" spans="2:38" s="930" customFormat="1" ht="20.25" customHeight="1" x14ac:dyDescent="0.2">
      <c r="B1713" s="936"/>
      <c r="C1713" s="936"/>
      <c r="D1713" s="936"/>
      <c r="E1713" s="936"/>
      <c r="AH1713" s="983"/>
      <c r="AI1713" s="983"/>
      <c r="AJ1713" s="968"/>
      <c r="AL1713" s="937"/>
    </row>
    <row r="1714" spans="2:38" s="930" customFormat="1" ht="20.25" customHeight="1" x14ac:dyDescent="0.2">
      <c r="B1714" s="936"/>
      <c r="C1714" s="936"/>
      <c r="D1714" s="936"/>
      <c r="E1714" s="936"/>
      <c r="AH1714" s="983"/>
      <c r="AI1714" s="983"/>
      <c r="AJ1714" s="968"/>
      <c r="AL1714" s="937"/>
    </row>
    <row r="1715" spans="2:38" s="930" customFormat="1" ht="20.25" customHeight="1" x14ac:dyDescent="0.2">
      <c r="B1715" s="936"/>
      <c r="C1715" s="936"/>
      <c r="D1715" s="936"/>
      <c r="E1715" s="936"/>
      <c r="AH1715" s="983"/>
      <c r="AI1715" s="983"/>
      <c r="AJ1715" s="968"/>
      <c r="AL1715" s="937"/>
    </row>
    <row r="1716" spans="2:38" s="930" customFormat="1" ht="20.25" customHeight="1" x14ac:dyDescent="0.2">
      <c r="B1716" s="936"/>
      <c r="C1716" s="936"/>
      <c r="D1716" s="936"/>
      <c r="E1716" s="936"/>
      <c r="AH1716" s="983"/>
      <c r="AI1716" s="983"/>
      <c r="AJ1716" s="968"/>
      <c r="AL1716" s="937"/>
    </row>
    <row r="1717" spans="2:38" s="930" customFormat="1" ht="20.25" customHeight="1" x14ac:dyDescent="0.2">
      <c r="B1717" s="936"/>
      <c r="C1717" s="936"/>
      <c r="D1717" s="936"/>
      <c r="E1717" s="936"/>
      <c r="AH1717" s="983"/>
      <c r="AI1717" s="983"/>
      <c r="AJ1717" s="968"/>
      <c r="AL1717" s="937"/>
    </row>
    <row r="1718" spans="2:38" s="930" customFormat="1" ht="20.25" customHeight="1" x14ac:dyDescent="0.2">
      <c r="B1718" s="936"/>
      <c r="C1718" s="936"/>
      <c r="D1718" s="936"/>
      <c r="E1718" s="936"/>
      <c r="AH1718" s="983"/>
      <c r="AI1718" s="983"/>
      <c r="AJ1718" s="968"/>
      <c r="AL1718" s="937"/>
    </row>
    <row r="1719" spans="2:38" s="930" customFormat="1" ht="20.25" customHeight="1" x14ac:dyDescent="0.2">
      <c r="B1719" s="936"/>
      <c r="C1719" s="936"/>
      <c r="D1719" s="936"/>
      <c r="E1719" s="936"/>
      <c r="AH1719" s="983"/>
      <c r="AI1719" s="983"/>
      <c r="AJ1719" s="968"/>
      <c r="AL1719" s="937"/>
    </row>
    <row r="1720" spans="2:38" s="930" customFormat="1" ht="20.25" customHeight="1" x14ac:dyDescent="0.2">
      <c r="B1720" s="936"/>
      <c r="C1720" s="936"/>
      <c r="D1720" s="936"/>
      <c r="E1720" s="936"/>
      <c r="AH1720" s="983"/>
      <c r="AI1720" s="983"/>
      <c r="AJ1720" s="968"/>
      <c r="AL1720" s="937"/>
    </row>
    <row r="1721" spans="2:38" s="930" customFormat="1" ht="20.25" customHeight="1" x14ac:dyDescent="0.2">
      <c r="B1721" s="936"/>
      <c r="C1721" s="936"/>
      <c r="D1721" s="936"/>
      <c r="E1721" s="936"/>
      <c r="AH1721" s="983"/>
      <c r="AI1721" s="983"/>
      <c r="AJ1721" s="968"/>
      <c r="AL1721" s="937"/>
    </row>
    <row r="1722" spans="2:38" s="930" customFormat="1" ht="20.25" customHeight="1" x14ac:dyDescent="0.2">
      <c r="B1722" s="936"/>
      <c r="C1722" s="936"/>
      <c r="D1722" s="936"/>
      <c r="E1722" s="936"/>
      <c r="AH1722" s="983"/>
      <c r="AI1722" s="983"/>
      <c r="AJ1722" s="968"/>
      <c r="AL1722" s="937"/>
    </row>
    <row r="1723" spans="2:38" s="930" customFormat="1" ht="20.25" customHeight="1" x14ac:dyDescent="0.2">
      <c r="B1723" s="936"/>
      <c r="C1723" s="936"/>
      <c r="D1723" s="936"/>
      <c r="E1723" s="936"/>
      <c r="AH1723" s="983"/>
      <c r="AI1723" s="983"/>
      <c r="AJ1723" s="968"/>
      <c r="AL1723" s="937"/>
    </row>
    <row r="1724" spans="2:38" s="930" customFormat="1" ht="20.25" customHeight="1" x14ac:dyDescent="0.2">
      <c r="B1724" s="936"/>
      <c r="C1724" s="936"/>
      <c r="D1724" s="936"/>
      <c r="E1724" s="936"/>
      <c r="AH1724" s="983"/>
      <c r="AI1724" s="983"/>
      <c r="AJ1724" s="968"/>
      <c r="AL1724" s="937"/>
    </row>
    <row r="1725" spans="2:38" s="930" customFormat="1" ht="20.25" customHeight="1" x14ac:dyDescent="0.2">
      <c r="B1725" s="936"/>
      <c r="C1725" s="936"/>
      <c r="D1725" s="936"/>
      <c r="E1725" s="936"/>
      <c r="AH1725" s="983"/>
      <c r="AI1725" s="983"/>
      <c r="AJ1725" s="968"/>
      <c r="AL1725" s="937"/>
    </row>
    <row r="1726" spans="2:38" s="930" customFormat="1" ht="20.25" customHeight="1" x14ac:dyDescent="0.2">
      <c r="B1726" s="936"/>
      <c r="C1726" s="936"/>
      <c r="D1726" s="936"/>
      <c r="E1726" s="936"/>
      <c r="AH1726" s="983"/>
      <c r="AI1726" s="983"/>
      <c r="AJ1726" s="968"/>
      <c r="AL1726" s="937"/>
    </row>
    <row r="1727" spans="2:38" s="930" customFormat="1" ht="20.25" customHeight="1" x14ac:dyDescent="0.2">
      <c r="B1727" s="936"/>
      <c r="C1727" s="936"/>
      <c r="D1727" s="936"/>
      <c r="E1727" s="936"/>
      <c r="AH1727" s="983"/>
      <c r="AI1727" s="983"/>
      <c r="AJ1727" s="968"/>
      <c r="AL1727" s="937"/>
    </row>
    <row r="1728" spans="2:38" s="930" customFormat="1" ht="20.25" customHeight="1" x14ac:dyDescent="0.2">
      <c r="B1728" s="936"/>
      <c r="C1728" s="936"/>
      <c r="D1728" s="936"/>
      <c r="E1728" s="936"/>
      <c r="AH1728" s="983"/>
      <c r="AI1728" s="983"/>
      <c r="AJ1728" s="968"/>
      <c r="AL1728" s="937"/>
    </row>
    <row r="1729" spans="2:38" s="930" customFormat="1" ht="20.25" customHeight="1" x14ac:dyDescent="0.2">
      <c r="B1729" s="936"/>
      <c r="C1729" s="936"/>
      <c r="D1729" s="936"/>
      <c r="E1729" s="936"/>
      <c r="AH1729" s="983"/>
      <c r="AI1729" s="983"/>
      <c r="AJ1729" s="968"/>
      <c r="AL1729" s="937"/>
    </row>
    <row r="1730" spans="2:38" s="930" customFormat="1" ht="20.25" customHeight="1" x14ac:dyDescent="0.2">
      <c r="B1730" s="936"/>
      <c r="C1730" s="936"/>
      <c r="D1730" s="936"/>
      <c r="E1730" s="936"/>
      <c r="AH1730" s="983"/>
      <c r="AI1730" s="983"/>
      <c r="AJ1730" s="968"/>
      <c r="AL1730" s="937"/>
    </row>
    <row r="1731" spans="2:38" s="930" customFormat="1" ht="20.25" customHeight="1" x14ac:dyDescent="0.2">
      <c r="B1731" s="936"/>
      <c r="C1731" s="936"/>
      <c r="D1731" s="936"/>
      <c r="E1731" s="936"/>
      <c r="AH1731" s="983"/>
      <c r="AI1731" s="983"/>
      <c r="AJ1731" s="968"/>
      <c r="AL1731" s="937"/>
    </row>
    <row r="1732" spans="2:38" s="930" customFormat="1" ht="20.25" customHeight="1" x14ac:dyDescent="0.2">
      <c r="B1732" s="936"/>
      <c r="C1732" s="936"/>
      <c r="D1732" s="936"/>
      <c r="E1732" s="936"/>
      <c r="AH1732" s="983"/>
      <c r="AI1732" s="983"/>
      <c r="AJ1732" s="968"/>
      <c r="AL1732" s="937"/>
    </row>
    <row r="1733" spans="2:38" s="930" customFormat="1" ht="20.25" customHeight="1" x14ac:dyDescent="0.2">
      <c r="B1733" s="936"/>
      <c r="C1733" s="936"/>
      <c r="D1733" s="936"/>
      <c r="E1733" s="936"/>
      <c r="AH1733" s="983"/>
      <c r="AI1733" s="983"/>
      <c r="AJ1733" s="968"/>
      <c r="AL1733" s="937"/>
    </row>
    <row r="1734" spans="2:38" s="930" customFormat="1" ht="20.25" customHeight="1" x14ac:dyDescent="0.2">
      <c r="B1734" s="936"/>
      <c r="C1734" s="936"/>
      <c r="D1734" s="936"/>
      <c r="E1734" s="936"/>
      <c r="AH1734" s="983"/>
      <c r="AI1734" s="983"/>
      <c r="AJ1734" s="968"/>
      <c r="AL1734" s="937"/>
    </row>
    <row r="1735" spans="2:38" s="930" customFormat="1" ht="20.25" customHeight="1" x14ac:dyDescent="0.2">
      <c r="B1735" s="936"/>
      <c r="C1735" s="936"/>
      <c r="D1735" s="936"/>
      <c r="E1735" s="936"/>
      <c r="AH1735" s="983"/>
      <c r="AI1735" s="983"/>
      <c r="AJ1735" s="968"/>
      <c r="AL1735" s="937"/>
    </row>
    <row r="1736" spans="2:38" s="930" customFormat="1" ht="20.25" customHeight="1" x14ac:dyDescent="0.2">
      <c r="B1736" s="936"/>
      <c r="C1736" s="936"/>
      <c r="D1736" s="936"/>
      <c r="E1736" s="936"/>
      <c r="AH1736" s="983"/>
      <c r="AI1736" s="983"/>
      <c r="AJ1736" s="968"/>
      <c r="AL1736" s="937"/>
    </row>
    <row r="1737" spans="2:38" s="930" customFormat="1" ht="20.25" customHeight="1" x14ac:dyDescent="0.2">
      <c r="B1737" s="936"/>
      <c r="C1737" s="936"/>
      <c r="D1737" s="936"/>
      <c r="E1737" s="936"/>
      <c r="AH1737" s="983"/>
      <c r="AI1737" s="983"/>
      <c r="AJ1737" s="968"/>
      <c r="AL1737" s="937"/>
    </row>
    <row r="1738" spans="2:38" s="930" customFormat="1" ht="20.25" customHeight="1" x14ac:dyDescent="0.2">
      <c r="B1738" s="936"/>
      <c r="C1738" s="936"/>
      <c r="D1738" s="936"/>
      <c r="E1738" s="936"/>
      <c r="AH1738" s="983"/>
      <c r="AI1738" s="983"/>
      <c r="AJ1738" s="968"/>
      <c r="AL1738" s="937"/>
    </row>
    <row r="1739" spans="2:38" s="930" customFormat="1" ht="20.25" customHeight="1" x14ac:dyDescent="0.2">
      <c r="B1739" s="936"/>
      <c r="C1739" s="936"/>
      <c r="D1739" s="936"/>
      <c r="E1739" s="936"/>
      <c r="AH1739" s="983"/>
      <c r="AI1739" s="983"/>
      <c r="AJ1739" s="968"/>
      <c r="AL1739" s="937"/>
    </row>
    <row r="1740" spans="2:38" s="930" customFormat="1" ht="20.25" customHeight="1" x14ac:dyDescent="0.2">
      <c r="B1740" s="936"/>
      <c r="C1740" s="936"/>
      <c r="D1740" s="936"/>
      <c r="E1740" s="936"/>
      <c r="AH1740" s="983"/>
      <c r="AI1740" s="983"/>
      <c r="AJ1740" s="968"/>
      <c r="AL1740" s="937"/>
    </row>
    <row r="1741" spans="2:38" s="930" customFormat="1" ht="20.25" customHeight="1" x14ac:dyDescent="0.2">
      <c r="B1741" s="936"/>
      <c r="C1741" s="936"/>
      <c r="D1741" s="936"/>
      <c r="E1741" s="936"/>
      <c r="AH1741" s="983"/>
      <c r="AI1741" s="983"/>
      <c r="AJ1741" s="968"/>
      <c r="AL1741" s="937"/>
    </row>
    <row r="1742" spans="2:38" s="930" customFormat="1" ht="20.25" customHeight="1" x14ac:dyDescent="0.2">
      <c r="B1742" s="936"/>
      <c r="C1742" s="936"/>
      <c r="D1742" s="936"/>
      <c r="E1742" s="936"/>
      <c r="AH1742" s="983"/>
      <c r="AI1742" s="983"/>
      <c r="AJ1742" s="968"/>
      <c r="AL1742" s="937"/>
    </row>
    <row r="1743" spans="2:38" s="930" customFormat="1" ht="20.25" customHeight="1" x14ac:dyDescent="0.2">
      <c r="B1743" s="936"/>
      <c r="C1743" s="936"/>
      <c r="D1743" s="936"/>
      <c r="E1743" s="936"/>
      <c r="AH1743" s="983"/>
      <c r="AI1743" s="983"/>
      <c r="AJ1743" s="968"/>
      <c r="AL1743" s="937"/>
    </row>
    <row r="1744" spans="2:38" s="930" customFormat="1" ht="20.25" customHeight="1" x14ac:dyDescent="0.2">
      <c r="B1744" s="936"/>
      <c r="C1744" s="936"/>
      <c r="D1744" s="936"/>
      <c r="E1744" s="936"/>
      <c r="AH1744" s="983"/>
      <c r="AI1744" s="983"/>
      <c r="AJ1744" s="968"/>
      <c r="AL1744" s="937"/>
    </row>
    <row r="1745" spans="2:38" s="930" customFormat="1" ht="20.25" customHeight="1" x14ac:dyDescent="0.2">
      <c r="B1745" s="936"/>
      <c r="C1745" s="936"/>
      <c r="D1745" s="936"/>
      <c r="E1745" s="936"/>
      <c r="AH1745" s="983"/>
      <c r="AI1745" s="983"/>
      <c r="AJ1745" s="968"/>
      <c r="AL1745" s="937"/>
    </row>
    <row r="1746" spans="2:38" s="930" customFormat="1" ht="20.25" customHeight="1" x14ac:dyDescent="0.2">
      <c r="B1746" s="936"/>
      <c r="C1746" s="936"/>
      <c r="D1746" s="936"/>
      <c r="E1746" s="936"/>
      <c r="AH1746" s="983"/>
      <c r="AI1746" s="983"/>
      <c r="AJ1746" s="968"/>
      <c r="AL1746" s="937"/>
    </row>
    <row r="1747" spans="2:38" s="930" customFormat="1" ht="20.25" customHeight="1" x14ac:dyDescent="0.2">
      <c r="B1747" s="936"/>
      <c r="C1747" s="936"/>
      <c r="D1747" s="936"/>
      <c r="E1747" s="936"/>
      <c r="AH1747" s="983"/>
      <c r="AI1747" s="983"/>
      <c r="AJ1747" s="968"/>
      <c r="AL1747" s="937"/>
    </row>
    <row r="1748" spans="2:38" s="930" customFormat="1" ht="20.25" customHeight="1" x14ac:dyDescent="0.2">
      <c r="B1748" s="936"/>
      <c r="C1748" s="936"/>
      <c r="D1748" s="936"/>
      <c r="E1748" s="936"/>
      <c r="AH1748" s="983"/>
      <c r="AI1748" s="983"/>
      <c r="AJ1748" s="968"/>
      <c r="AL1748" s="937"/>
    </row>
    <row r="1749" spans="2:38" s="930" customFormat="1" ht="20.25" customHeight="1" x14ac:dyDescent="0.2">
      <c r="B1749" s="936"/>
      <c r="C1749" s="936"/>
      <c r="D1749" s="936"/>
      <c r="E1749" s="936"/>
      <c r="AH1749" s="983"/>
      <c r="AI1749" s="983"/>
      <c r="AJ1749" s="968"/>
      <c r="AL1749" s="937"/>
    </row>
    <row r="1750" spans="2:38" s="930" customFormat="1" ht="20.25" customHeight="1" x14ac:dyDescent="0.2">
      <c r="B1750" s="936"/>
      <c r="C1750" s="936"/>
      <c r="D1750" s="936"/>
      <c r="E1750" s="936"/>
      <c r="AH1750" s="983"/>
      <c r="AI1750" s="983"/>
      <c r="AJ1750" s="968"/>
      <c r="AL1750" s="937"/>
    </row>
    <row r="1751" spans="2:38" s="930" customFormat="1" ht="20.25" customHeight="1" x14ac:dyDescent="0.2">
      <c r="B1751" s="936"/>
      <c r="C1751" s="936"/>
      <c r="D1751" s="936"/>
      <c r="E1751" s="936"/>
      <c r="AH1751" s="983"/>
      <c r="AI1751" s="983"/>
      <c r="AJ1751" s="968"/>
      <c r="AL1751" s="937"/>
    </row>
    <row r="1752" spans="2:38" s="930" customFormat="1" ht="20.25" customHeight="1" x14ac:dyDescent="0.2">
      <c r="B1752" s="936"/>
      <c r="C1752" s="936"/>
      <c r="D1752" s="936"/>
      <c r="E1752" s="936"/>
      <c r="AH1752" s="983"/>
      <c r="AI1752" s="983"/>
      <c r="AJ1752" s="968"/>
      <c r="AL1752" s="937"/>
    </row>
    <row r="1753" spans="2:38" s="930" customFormat="1" ht="20.25" customHeight="1" x14ac:dyDescent="0.2">
      <c r="B1753" s="936"/>
      <c r="C1753" s="936"/>
      <c r="D1753" s="936"/>
      <c r="E1753" s="936"/>
      <c r="AH1753" s="983"/>
      <c r="AI1753" s="983"/>
      <c r="AJ1753" s="968"/>
      <c r="AL1753" s="937"/>
    </row>
    <row r="1754" spans="2:38" s="930" customFormat="1" ht="20.25" customHeight="1" x14ac:dyDescent="0.2">
      <c r="B1754" s="936"/>
      <c r="C1754" s="936"/>
      <c r="D1754" s="936"/>
      <c r="E1754" s="936"/>
      <c r="AH1754" s="983"/>
      <c r="AI1754" s="983"/>
      <c r="AJ1754" s="968"/>
      <c r="AL1754" s="937"/>
    </row>
    <row r="1755" spans="2:38" s="930" customFormat="1" ht="20.25" customHeight="1" x14ac:dyDescent="0.2">
      <c r="B1755" s="936"/>
      <c r="C1755" s="936"/>
      <c r="D1755" s="936"/>
      <c r="E1755" s="936"/>
      <c r="AH1755" s="983"/>
      <c r="AI1755" s="983"/>
      <c r="AJ1755" s="968"/>
      <c r="AL1755" s="937"/>
    </row>
    <row r="1756" spans="2:38" s="930" customFormat="1" ht="20.25" customHeight="1" x14ac:dyDescent="0.2">
      <c r="B1756" s="936"/>
      <c r="C1756" s="936"/>
      <c r="D1756" s="936"/>
      <c r="E1756" s="936"/>
      <c r="AH1756" s="983"/>
      <c r="AI1756" s="983"/>
      <c r="AJ1756" s="968"/>
      <c r="AL1756" s="937"/>
    </row>
    <row r="1757" spans="2:38" s="930" customFormat="1" ht="20.25" customHeight="1" x14ac:dyDescent="0.2">
      <c r="B1757" s="936"/>
      <c r="C1757" s="936"/>
      <c r="D1757" s="936"/>
      <c r="E1757" s="936"/>
      <c r="AH1757" s="983"/>
      <c r="AI1757" s="983"/>
      <c r="AJ1757" s="968"/>
      <c r="AL1757" s="937"/>
    </row>
    <row r="1758" spans="2:38" s="930" customFormat="1" ht="20.25" customHeight="1" x14ac:dyDescent="0.2">
      <c r="B1758" s="936"/>
      <c r="C1758" s="936"/>
      <c r="D1758" s="936"/>
      <c r="E1758" s="936"/>
      <c r="AH1758" s="983"/>
      <c r="AI1758" s="983"/>
      <c r="AJ1758" s="968"/>
      <c r="AL1758" s="937"/>
    </row>
    <row r="1759" spans="2:38" s="930" customFormat="1" ht="20.25" customHeight="1" x14ac:dyDescent="0.2">
      <c r="B1759" s="936"/>
      <c r="C1759" s="936"/>
      <c r="D1759" s="936"/>
      <c r="E1759" s="936"/>
      <c r="AH1759" s="983"/>
      <c r="AI1759" s="983"/>
      <c r="AJ1759" s="968"/>
      <c r="AL1759" s="937"/>
    </row>
    <row r="1760" spans="2:38" s="930" customFormat="1" ht="20.25" customHeight="1" x14ac:dyDescent="0.2">
      <c r="B1760" s="936"/>
      <c r="C1760" s="936"/>
      <c r="D1760" s="936"/>
      <c r="E1760" s="936"/>
      <c r="AH1760" s="983"/>
      <c r="AI1760" s="983"/>
      <c r="AJ1760" s="968"/>
      <c r="AL1760" s="937"/>
    </row>
    <row r="1761" spans="2:38" s="930" customFormat="1" ht="20.25" customHeight="1" x14ac:dyDescent="0.2">
      <c r="B1761" s="936"/>
      <c r="C1761" s="936"/>
      <c r="D1761" s="936"/>
      <c r="E1761" s="936"/>
      <c r="AH1761" s="983"/>
      <c r="AI1761" s="983"/>
      <c r="AJ1761" s="968"/>
      <c r="AL1761" s="937"/>
    </row>
    <row r="1762" spans="2:38" s="930" customFormat="1" ht="20.25" customHeight="1" x14ac:dyDescent="0.2">
      <c r="B1762" s="936"/>
      <c r="C1762" s="936"/>
      <c r="D1762" s="936"/>
      <c r="E1762" s="936"/>
      <c r="AH1762" s="983"/>
      <c r="AI1762" s="983"/>
      <c r="AJ1762" s="968"/>
      <c r="AL1762" s="937"/>
    </row>
    <row r="1763" spans="2:38" s="930" customFormat="1" ht="20.25" customHeight="1" x14ac:dyDescent="0.2">
      <c r="B1763" s="936"/>
      <c r="C1763" s="936"/>
      <c r="D1763" s="936"/>
      <c r="E1763" s="936"/>
      <c r="AH1763" s="983"/>
      <c r="AI1763" s="983"/>
      <c r="AJ1763" s="968"/>
      <c r="AL1763" s="937"/>
    </row>
    <row r="1764" spans="2:38" s="930" customFormat="1" ht="20.25" customHeight="1" x14ac:dyDescent="0.2">
      <c r="B1764" s="936"/>
      <c r="C1764" s="936"/>
      <c r="D1764" s="936"/>
      <c r="E1764" s="936"/>
      <c r="AH1764" s="983"/>
      <c r="AI1764" s="983"/>
      <c r="AJ1764" s="968"/>
      <c r="AL1764" s="937"/>
    </row>
    <row r="1765" spans="2:38" s="930" customFormat="1" ht="20.25" customHeight="1" x14ac:dyDescent="0.2">
      <c r="B1765" s="936"/>
      <c r="C1765" s="936"/>
      <c r="D1765" s="936"/>
      <c r="E1765" s="936"/>
      <c r="AH1765" s="983"/>
      <c r="AI1765" s="983"/>
      <c r="AJ1765" s="968"/>
      <c r="AL1765" s="937"/>
    </row>
    <row r="1766" spans="2:38" s="930" customFormat="1" ht="20.25" customHeight="1" x14ac:dyDescent="0.2">
      <c r="B1766" s="936"/>
      <c r="C1766" s="936"/>
      <c r="D1766" s="936"/>
      <c r="E1766" s="936"/>
      <c r="AH1766" s="983"/>
      <c r="AI1766" s="983"/>
      <c r="AJ1766" s="968"/>
      <c r="AL1766" s="937"/>
    </row>
    <row r="1767" spans="2:38" s="930" customFormat="1" ht="20.25" customHeight="1" x14ac:dyDescent="0.2">
      <c r="B1767" s="936"/>
      <c r="C1767" s="936"/>
      <c r="D1767" s="936"/>
      <c r="E1767" s="936"/>
      <c r="AH1767" s="983"/>
      <c r="AI1767" s="983"/>
      <c r="AJ1767" s="968"/>
      <c r="AL1767" s="937"/>
    </row>
    <row r="1768" spans="2:38" s="930" customFormat="1" ht="20.25" customHeight="1" x14ac:dyDescent="0.2">
      <c r="B1768" s="936"/>
      <c r="C1768" s="936"/>
      <c r="D1768" s="936"/>
      <c r="E1768" s="936"/>
      <c r="AH1768" s="983"/>
      <c r="AI1768" s="983"/>
      <c r="AJ1768" s="968"/>
      <c r="AL1768" s="937"/>
    </row>
    <row r="1769" spans="2:38" s="930" customFormat="1" ht="20.25" customHeight="1" x14ac:dyDescent="0.2">
      <c r="B1769" s="936"/>
      <c r="C1769" s="936"/>
      <c r="D1769" s="936"/>
      <c r="E1769" s="936"/>
      <c r="AH1769" s="983"/>
      <c r="AI1769" s="983"/>
      <c r="AJ1769" s="968"/>
      <c r="AL1769" s="937"/>
    </row>
    <row r="1770" spans="2:38" s="930" customFormat="1" ht="20.25" customHeight="1" x14ac:dyDescent="0.2">
      <c r="B1770" s="936"/>
      <c r="C1770" s="936"/>
      <c r="D1770" s="936"/>
      <c r="E1770" s="936"/>
      <c r="AH1770" s="983"/>
      <c r="AI1770" s="983"/>
      <c r="AJ1770" s="968"/>
      <c r="AL1770" s="937"/>
    </row>
    <row r="1771" spans="2:38" s="930" customFormat="1" ht="20.25" customHeight="1" x14ac:dyDescent="0.2">
      <c r="B1771" s="936"/>
      <c r="C1771" s="936"/>
      <c r="D1771" s="936"/>
      <c r="E1771" s="936"/>
      <c r="AH1771" s="983"/>
      <c r="AI1771" s="983"/>
      <c r="AJ1771" s="968"/>
      <c r="AL1771" s="937"/>
    </row>
    <row r="1772" spans="2:38" s="930" customFormat="1" ht="20.25" customHeight="1" x14ac:dyDescent="0.2">
      <c r="B1772" s="936"/>
      <c r="C1772" s="936"/>
      <c r="D1772" s="936"/>
      <c r="E1772" s="936"/>
      <c r="AH1772" s="983"/>
      <c r="AI1772" s="983"/>
      <c r="AJ1772" s="968"/>
      <c r="AL1772" s="937"/>
    </row>
    <row r="1773" spans="2:38" s="930" customFormat="1" ht="20.25" customHeight="1" x14ac:dyDescent="0.2">
      <c r="B1773" s="936"/>
      <c r="C1773" s="936"/>
      <c r="D1773" s="936"/>
      <c r="E1773" s="936"/>
      <c r="AH1773" s="983"/>
      <c r="AI1773" s="983"/>
      <c r="AJ1773" s="968"/>
      <c r="AL1773" s="937"/>
    </row>
    <row r="1774" spans="2:38" s="930" customFormat="1" ht="20.25" customHeight="1" x14ac:dyDescent="0.2">
      <c r="B1774" s="936"/>
      <c r="C1774" s="936"/>
      <c r="D1774" s="936"/>
      <c r="E1774" s="936"/>
      <c r="AH1774" s="983"/>
      <c r="AI1774" s="983"/>
      <c r="AJ1774" s="968"/>
      <c r="AL1774" s="937"/>
    </row>
    <row r="1775" spans="2:38" s="930" customFormat="1" ht="20.25" customHeight="1" x14ac:dyDescent="0.2">
      <c r="B1775" s="936"/>
      <c r="C1775" s="936"/>
      <c r="D1775" s="936"/>
      <c r="E1775" s="936"/>
      <c r="AH1775" s="983"/>
      <c r="AI1775" s="983"/>
      <c r="AJ1775" s="968"/>
      <c r="AL1775" s="937"/>
    </row>
    <row r="1776" spans="2:38" s="930" customFormat="1" ht="20.25" customHeight="1" x14ac:dyDescent="0.2">
      <c r="B1776" s="936"/>
      <c r="C1776" s="936"/>
      <c r="D1776" s="936"/>
      <c r="E1776" s="936"/>
      <c r="AH1776" s="983"/>
      <c r="AI1776" s="983"/>
      <c r="AJ1776" s="968"/>
      <c r="AL1776" s="937"/>
    </row>
    <row r="1777" spans="2:38" s="930" customFormat="1" ht="20.25" customHeight="1" x14ac:dyDescent="0.2">
      <c r="B1777" s="936"/>
      <c r="C1777" s="936"/>
      <c r="D1777" s="936"/>
      <c r="E1777" s="936"/>
      <c r="AH1777" s="983"/>
      <c r="AI1777" s="983"/>
      <c r="AJ1777" s="968"/>
      <c r="AL1777" s="937"/>
    </row>
    <row r="1778" spans="2:38" s="930" customFormat="1" ht="20.25" customHeight="1" x14ac:dyDescent="0.2">
      <c r="B1778" s="936"/>
      <c r="C1778" s="936"/>
      <c r="D1778" s="936"/>
      <c r="E1778" s="936"/>
      <c r="AH1778" s="983"/>
      <c r="AI1778" s="983"/>
      <c r="AJ1778" s="968"/>
      <c r="AL1778" s="937"/>
    </row>
    <row r="1779" spans="2:38" s="930" customFormat="1" ht="20.25" customHeight="1" x14ac:dyDescent="0.2">
      <c r="B1779" s="936"/>
      <c r="C1779" s="936"/>
      <c r="D1779" s="936"/>
      <c r="E1779" s="936"/>
      <c r="AH1779" s="983"/>
      <c r="AI1779" s="983"/>
      <c r="AJ1779" s="968"/>
      <c r="AL1779" s="937"/>
    </row>
    <row r="1780" spans="2:38" s="930" customFormat="1" ht="20.25" customHeight="1" x14ac:dyDescent="0.2">
      <c r="B1780" s="936"/>
      <c r="C1780" s="936"/>
      <c r="D1780" s="936"/>
      <c r="E1780" s="936"/>
      <c r="AH1780" s="983"/>
      <c r="AI1780" s="983"/>
      <c r="AJ1780" s="968"/>
      <c r="AL1780" s="937"/>
    </row>
    <row r="1781" spans="2:38" s="930" customFormat="1" ht="20.25" customHeight="1" x14ac:dyDescent="0.2">
      <c r="B1781" s="936"/>
      <c r="C1781" s="936"/>
      <c r="D1781" s="936"/>
      <c r="E1781" s="936"/>
      <c r="AH1781" s="983"/>
      <c r="AI1781" s="983"/>
      <c r="AJ1781" s="968"/>
      <c r="AL1781" s="937"/>
    </row>
    <row r="1782" spans="2:38" s="930" customFormat="1" ht="20.25" customHeight="1" x14ac:dyDescent="0.2">
      <c r="B1782" s="936"/>
      <c r="C1782" s="936"/>
      <c r="D1782" s="936"/>
      <c r="E1782" s="936"/>
      <c r="AH1782" s="983"/>
      <c r="AI1782" s="983"/>
      <c r="AJ1782" s="968"/>
      <c r="AL1782" s="937"/>
    </row>
    <row r="1783" spans="2:38" s="930" customFormat="1" ht="20.25" customHeight="1" x14ac:dyDescent="0.2">
      <c r="B1783" s="936"/>
      <c r="C1783" s="936"/>
      <c r="D1783" s="936"/>
      <c r="E1783" s="936"/>
      <c r="AH1783" s="983"/>
      <c r="AI1783" s="983"/>
      <c r="AJ1783" s="968"/>
      <c r="AL1783" s="937"/>
    </row>
    <row r="1784" spans="2:38" s="930" customFormat="1" ht="20.25" customHeight="1" x14ac:dyDescent="0.2">
      <c r="B1784" s="936"/>
      <c r="C1784" s="936"/>
      <c r="D1784" s="936"/>
      <c r="E1784" s="936"/>
      <c r="AH1784" s="983"/>
      <c r="AI1784" s="983"/>
      <c r="AJ1784" s="968"/>
      <c r="AL1784" s="937"/>
    </row>
    <row r="1785" spans="2:38" s="930" customFormat="1" ht="20.25" customHeight="1" x14ac:dyDescent="0.2">
      <c r="B1785" s="936"/>
      <c r="C1785" s="936"/>
      <c r="D1785" s="936"/>
      <c r="E1785" s="936"/>
      <c r="AH1785" s="983"/>
      <c r="AI1785" s="983"/>
      <c r="AJ1785" s="968"/>
      <c r="AL1785" s="937"/>
    </row>
    <row r="1786" spans="2:38" s="930" customFormat="1" ht="20.25" customHeight="1" x14ac:dyDescent="0.2">
      <c r="B1786" s="936"/>
      <c r="C1786" s="936"/>
      <c r="D1786" s="936"/>
      <c r="E1786" s="936"/>
      <c r="AH1786" s="983"/>
      <c r="AI1786" s="983"/>
      <c r="AJ1786" s="968"/>
      <c r="AL1786" s="937"/>
    </row>
    <row r="1787" spans="2:38" s="930" customFormat="1" ht="20.25" customHeight="1" x14ac:dyDescent="0.2">
      <c r="B1787" s="936"/>
      <c r="C1787" s="936"/>
      <c r="D1787" s="936"/>
      <c r="E1787" s="936"/>
      <c r="AH1787" s="983"/>
      <c r="AI1787" s="983"/>
      <c r="AJ1787" s="968"/>
      <c r="AL1787" s="937"/>
    </row>
    <row r="1788" spans="2:38" s="930" customFormat="1" ht="20.25" customHeight="1" x14ac:dyDescent="0.2">
      <c r="B1788" s="936"/>
      <c r="C1788" s="936"/>
      <c r="D1788" s="936"/>
      <c r="E1788" s="936"/>
      <c r="AH1788" s="983"/>
      <c r="AI1788" s="983"/>
      <c r="AJ1788" s="968"/>
      <c r="AL1788" s="937"/>
    </row>
    <row r="1789" spans="2:38" s="930" customFormat="1" ht="20.25" customHeight="1" x14ac:dyDescent="0.2">
      <c r="B1789" s="936"/>
      <c r="C1789" s="936"/>
      <c r="D1789" s="936"/>
      <c r="E1789" s="936"/>
      <c r="AH1789" s="983"/>
      <c r="AI1789" s="983"/>
      <c r="AJ1789" s="968"/>
      <c r="AL1789" s="937"/>
    </row>
    <row r="1790" spans="2:38" s="930" customFormat="1" ht="20.25" customHeight="1" x14ac:dyDescent="0.2">
      <c r="B1790" s="936"/>
      <c r="C1790" s="936"/>
      <c r="D1790" s="936"/>
      <c r="E1790" s="936"/>
      <c r="AH1790" s="983"/>
      <c r="AI1790" s="983"/>
      <c r="AJ1790" s="968"/>
      <c r="AL1790" s="937"/>
    </row>
    <row r="1791" spans="2:38" s="930" customFormat="1" ht="20.25" customHeight="1" x14ac:dyDescent="0.2">
      <c r="B1791" s="936"/>
      <c r="C1791" s="936"/>
      <c r="D1791" s="936"/>
      <c r="E1791" s="936"/>
      <c r="AH1791" s="983"/>
      <c r="AI1791" s="983"/>
      <c r="AJ1791" s="968"/>
      <c r="AL1791" s="937"/>
    </row>
    <row r="1792" spans="2:38" s="930" customFormat="1" ht="20.25" customHeight="1" x14ac:dyDescent="0.2">
      <c r="B1792" s="936"/>
      <c r="C1792" s="936"/>
      <c r="D1792" s="936"/>
      <c r="E1792" s="936"/>
      <c r="AH1792" s="983"/>
      <c r="AI1792" s="983"/>
      <c r="AJ1792" s="968"/>
      <c r="AL1792" s="937"/>
    </row>
    <row r="1793" spans="2:38" s="930" customFormat="1" ht="20.25" customHeight="1" x14ac:dyDescent="0.2">
      <c r="B1793" s="936"/>
      <c r="C1793" s="936"/>
      <c r="D1793" s="936"/>
      <c r="E1793" s="936"/>
      <c r="AH1793" s="983"/>
      <c r="AI1793" s="983"/>
      <c r="AJ1793" s="968"/>
      <c r="AL1793" s="937"/>
    </row>
    <row r="1794" spans="2:38" s="930" customFormat="1" ht="20.25" customHeight="1" x14ac:dyDescent="0.2">
      <c r="B1794" s="936"/>
      <c r="C1794" s="936"/>
      <c r="D1794" s="936"/>
      <c r="E1794" s="936"/>
      <c r="AH1794" s="983"/>
      <c r="AI1794" s="983"/>
      <c r="AJ1794" s="968"/>
      <c r="AL1794" s="937"/>
    </row>
    <row r="1795" spans="2:38" s="930" customFormat="1" ht="20.25" customHeight="1" x14ac:dyDescent="0.2">
      <c r="B1795" s="936"/>
      <c r="C1795" s="936"/>
      <c r="D1795" s="936"/>
      <c r="E1795" s="936"/>
      <c r="AH1795" s="983"/>
      <c r="AI1795" s="983"/>
      <c r="AJ1795" s="968"/>
      <c r="AL1795" s="937"/>
    </row>
    <row r="1796" spans="2:38" s="930" customFormat="1" ht="20.25" customHeight="1" x14ac:dyDescent="0.2">
      <c r="B1796" s="936"/>
      <c r="C1796" s="936"/>
      <c r="D1796" s="936"/>
      <c r="E1796" s="936"/>
      <c r="AH1796" s="983"/>
      <c r="AI1796" s="983"/>
      <c r="AJ1796" s="968"/>
      <c r="AL1796" s="937"/>
    </row>
    <row r="1797" spans="2:38" s="930" customFormat="1" ht="20.25" customHeight="1" x14ac:dyDescent="0.2">
      <c r="B1797" s="936"/>
      <c r="C1797" s="936"/>
      <c r="D1797" s="936"/>
      <c r="E1797" s="936"/>
      <c r="AH1797" s="983"/>
      <c r="AI1797" s="983"/>
      <c r="AJ1797" s="968"/>
      <c r="AL1797" s="937"/>
    </row>
    <row r="1798" spans="2:38" s="930" customFormat="1" ht="20.25" customHeight="1" x14ac:dyDescent="0.2">
      <c r="B1798" s="936"/>
      <c r="C1798" s="936"/>
      <c r="D1798" s="936"/>
      <c r="E1798" s="936"/>
      <c r="AH1798" s="983"/>
      <c r="AI1798" s="983"/>
      <c r="AJ1798" s="968"/>
      <c r="AL1798" s="937"/>
    </row>
    <row r="1799" spans="2:38" s="930" customFormat="1" ht="20.25" customHeight="1" x14ac:dyDescent="0.2">
      <c r="B1799" s="936"/>
      <c r="C1799" s="936"/>
      <c r="D1799" s="936"/>
      <c r="E1799" s="936"/>
      <c r="AH1799" s="983"/>
      <c r="AI1799" s="983"/>
      <c r="AJ1799" s="968"/>
      <c r="AL1799" s="937"/>
    </row>
    <row r="1800" spans="2:38" s="930" customFormat="1" ht="20.25" customHeight="1" x14ac:dyDescent="0.2">
      <c r="B1800" s="936"/>
      <c r="C1800" s="936"/>
      <c r="D1800" s="936"/>
      <c r="E1800" s="936"/>
      <c r="AH1800" s="983"/>
      <c r="AI1800" s="983"/>
      <c r="AJ1800" s="968"/>
      <c r="AL1800" s="937"/>
    </row>
    <row r="1801" spans="2:38" s="930" customFormat="1" ht="20.25" customHeight="1" x14ac:dyDescent="0.2">
      <c r="B1801" s="936"/>
      <c r="C1801" s="936"/>
      <c r="D1801" s="936"/>
      <c r="E1801" s="936"/>
      <c r="AH1801" s="983"/>
      <c r="AI1801" s="983"/>
      <c r="AJ1801" s="968"/>
      <c r="AL1801" s="937"/>
    </row>
    <row r="1802" spans="2:38" s="930" customFormat="1" ht="20.25" customHeight="1" x14ac:dyDescent="0.2">
      <c r="B1802" s="936"/>
      <c r="C1802" s="936"/>
      <c r="D1802" s="936"/>
      <c r="E1802" s="936"/>
      <c r="AH1802" s="983"/>
      <c r="AI1802" s="983"/>
      <c r="AJ1802" s="968"/>
      <c r="AL1802" s="937"/>
    </row>
    <row r="1803" spans="2:38" s="930" customFormat="1" ht="20.25" customHeight="1" x14ac:dyDescent="0.2">
      <c r="B1803" s="936"/>
      <c r="C1803" s="936"/>
      <c r="D1803" s="936"/>
      <c r="E1803" s="936"/>
      <c r="AH1803" s="983"/>
      <c r="AI1803" s="983"/>
      <c r="AJ1803" s="968"/>
      <c r="AL1803" s="937"/>
    </row>
    <row r="1804" spans="2:38" s="930" customFormat="1" ht="20.25" customHeight="1" x14ac:dyDescent="0.2">
      <c r="B1804" s="936"/>
      <c r="C1804" s="936"/>
      <c r="D1804" s="936"/>
      <c r="E1804" s="936"/>
      <c r="AH1804" s="983"/>
      <c r="AI1804" s="983"/>
      <c r="AJ1804" s="968"/>
      <c r="AL1804" s="937"/>
    </row>
    <row r="1805" spans="2:38" s="930" customFormat="1" ht="20.25" customHeight="1" x14ac:dyDescent="0.2">
      <c r="B1805" s="936"/>
      <c r="C1805" s="936"/>
      <c r="D1805" s="936"/>
      <c r="E1805" s="936"/>
      <c r="AH1805" s="983"/>
      <c r="AI1805" s="983"/>
      <c r="AJ1805" s="968"/>
      <c r="AL1805" s="937"/>
    </row>
    <row r="1806" spans="2:38" s="930" customFormat="1" ht="20.25" customHeight="1" x14ac:dyDescent="0.2">
      <c r="B1806" s="936"/>
      <c r="C1806" s="936"/>
      <c r="D1806" s="936"/>
      <c r="E1806" s="936"/>
      <c r="AH1806" s="983"/>
      <c r="AI1806" s="983"/>
      <c r="AJ1806" s="968"/>
      <c r="AL1806" s="937"/>
    </row>
    <row r="1807" spans="2:38" s="930" customFormat="1" ht="20.25" customHeight="1" x14ac:dyDescent="0.2">
      <c r="B1807" s="936"/>
      <c r="C1807" s="936"/>
      <c r="D1807" s="936"/>
      <c r="E1807" s="936"/>
      <c r="AH1807" s="983"/>
      <c r="AI1807" s="983"/>
      <c r="AJ1807" s="968"/>
      <c r="AL1807" s="937"/>
    </row>
    <row r="1808" spans="2:38" s="930" customFormat="1" ht="20.25" customHeight="1" x14ac:dyDescent="0.2">
      <c r="B1808" s="936"/>
      <c r="C1808" s="936"/>
      <c r="D1808" s="936"/>
      <c r="E1808" s="936"/>
      <c r="AH1808" s="983"/>
      <c r="AI1808" s="983"/>
      <c r="AJ1808" s="968"/>
      <c r="AL1808" s="937"/>
    </row>
    <row r="1809" spans="2:38" s="930" customFormat="1" ht="20.25" customHeight="1" x14ac:dyDescent="0.2">
      <c r="B1809" s="936"/>
      <c r="C1809" s="936"/>
      <c r="D1809" s="936"/>
      <c r="E1809" s="936"/>
      <c r="AH1809" s="983"/>
      <c r="AI1809" s="983"/>
      <c r="AJ1809" s="968"/>
      <c r="AL1809" s="937"/>
    </row>
    <row r="1810" spans="2:38" s="930" customFormat="1" ht="20.25" customHeight="1" x14ac:dyDescent="0.2">
      <c r="B1810" s="936"/>
      <c r="C1810" s="936"/>
      <c r="D1810" s="936"/>
      <c r="E1810" s="936"/>
      <c r="AH1810" s="983"/>
      <c r="AI1810" s="983"/>
      <c r="AJ1810" s="968"/>
      <c r="AL1810" s="937"/>
    </row>
    <row r="1811" spans="2:38" s="930" customFormat="1" ht="20.25" customHeight="1" x14ac:dyDescent="0.2">
      <c r="B1811" s="936"/>
      <c r="C1811" s="936"/>
      <c r="D1811" s="936"/>
      <c r="E1811" s="936"/>
      <c r="AH1811" s="983"/>
      <c r="AI1811" s="983"/>
      <c r="AJ1811" s="968"/>
      <c r="AL1811" s="937"/>
    </row>
    <row r="1812" spans="2:38" s="930" customFormat="1" ht="20.25" customHeight="1" x14ac:dyDescent="0.2">
      <c r="B1812" s="936"/>
      <c r="C1812" s="936"/>
      <c r="D1812" s="936"/>
      <c r="E1812" s="936"/>
      <c r="AH1812" s="983"/>
      <c r="AI1812" s="983"/>
      <c r="AJ1812" s="968"/>
      <c r="AL1812" s="937"/>
    </row>
    <row r="1813" spans="2:38" s="930" customFormat="1" ht="20.25" customHeight="1" x14ac:dyDescent="0.2">
      <c r="B1813" s="936"/>
      <c r="C1813" s="936"/>
      <c r="D1813" s="936"/>
      <c r="E1813" s="936"/>
      <c r="AH1813" s="983"/>
      <c r="AI1813" s="983"/>
      <c r="AJ1813" s="968"/>
      <c r="AL1813" s="937"/>
    </row>
    <row r="1814" spans="2:38" s="930" customFormat="1" ht="20.25" customHeight="1" x14ac:dyDescent="0.2">
      <c r="B1814" s="936"/>
      <c r="C1814" s="936"/>
      <c r="D1814" s="936"/>
      <c r="E1814" s="936"/>
      <c r="AH1814" s="983"/>
      <c r="AI1814" s="983"/>
      <c r="AJ1814" s="968"/>
      <c r="AL1814" s="937"/>
    </row>
    <row r="1815" spans="2:38" s="930" customFormat="1" ht="20.25" customHeight="1" x14ac:dyDescent="0.2">
      <c r="B1815" s="936"/>
      <c r="C1815" s="936"/>
      <c r="D1815" s="936"/>
      <c r="E1815" s="936"/>
      <c r="AH1815" s="983"/>
      <c r="AI1815" s="983"/>
      <c r="AJ1815" s="968"/>
      <c r="AL1815" s="937"/>
    </row>
    <row r="1816" spans="2:38" s="930" customFormat="1" ht="20.25" customHeight="1" x14ac:dyDescent="0.2">
      <c r="B1816" s="936"/>
      <c r="C1816" s="936"/>
      <c r="D1816" s="936"/>
      <c r="E1816" s="936"/>
      <c r="AH1816" s="983"/>
      <c r="AI1816" s="983"/>
      <c r="AJ1816" s="968"/>
      <c r="AL1816" s="937"/>
    </row>
    <row r="1817" spans="2:38" s="930" customFormat="1" ht="20.25" customHeight="1" x14ac:dyDescent="0.2">
      <c r="B1817" s="936"/>
      <c r="C1817" s="936"/>
      <c r="D1817" s="936"/>
      <c r="E1817" s="936"/>
      <c r="AH1817" s="983"/>
      <c r="AI1817" s="983"/>
      <c r="AJ1817" s="968"/>
      <c r="AL1817" s="937"/>
    </row>
    <row r="1818" spans="2:38" s="930" customFormat="1" ht="20.25" customHeight="1" x14ac:dyDescent="0.2">
      <c r="B1818" s="936"/>
      <c r="C1818" s="936"/>
      <c r="D1818" s="936"/>
      <c r="E1818" s="936"/>
      <c r="AH1818" s="983"/>
      <c r="AI1818" s="983"/>
      <c r="AJ1818" s="968"/>
      <c r="AL1818" s="937"/>
    </row>
    <row r="1819" spans="2:38" s="930" customFormat="1" ht="20.25" customHeight="1" x14ac:dyDescent="0.2">
      <c r="B1819" s="936"/>
      <c r="C1819" s="936"/>
      <c r="D1819" s="936"/>
      <c r="E1819" s="936"/>
      <c r="AH1819" s="983"/>
      <c r="AI1819" s="983"/>
      <c r="AJ1819" s="968"/>
      <c r="AL1819" s="937"/>
    </row>
    <row r="1820" spans="2:38" s="930" customFormat="1" ht="20.25" customHeight="1" x14ac:dyDescent="0.2">
      <c r="B1820" s="936"/>
      <c r="C1820" s="936"/>
      <c r="D1820" s="936"/>
      <c r="E1820" s="936"/>
      <c r="AH1820" s="983"/>
      <c r="AI1820" s="983"/>
      <c r="AJ1820" s="968"/>
      <c r="AL1820" s="937"/>
    </row>
    <row r="1821" spans="2:38" s="930" customFormat="1" ht="20.25" customHeight="1" x14ac:dyDescent="0.2">
      <c r="B1821" s="936"/>
      <c r="C1821" s="936"/>
      <c r="D1821" s="936"/>
      <c r="E1821" s="936"/>
      <c r="AH1821" s="983"/>
      <c r="AI1821" s="983"/>
      <c r="AJ1821" s="968"/>
      <c r="AL1821" s="937"/>
    </row>
    <row r="1822" spans="2:38" s="930" customFormat="1" ht="20.25" customHeight="1" x14ac:dyDescent="0.2">
      <c r="B1822" s="936"/>
      <c r="C1822" s="936"/>
      <c r="D1822" s="936"/>
      <c r="E1822" s="936"/>
      <c r="AH1822" s="983"/>
      <c r="AI1822" s="983"/>
      <c r="AJ1822" s="968"/>
      <c r="AL1822" s="937"/>
    </row>
    <row r="1823" spans="2:38" s="930" customFormat="1" ht="20.25" customHeight="1" x14ac:dyDescent="0.2">
      <c r="B1823" s="936"/>
      <c r="C1823" s="936"/>
      <c r="D1823" s="936"/>
      <c r="E1823" s="936"/>
      <c r="AH1823" s="983"/>
      <c r="AI1823" s="983"/>
      <c r="AJ1823" s="968"/>
      <c r="AL1823" s="937"/>
    </row>
    <row r="1824" spans="2:38" s="930" customFormat="1" ht="20.25" customHeight="1" x14ac:dyDescent="0.2">
      <c r="B1824" s="936"/>
      <c r="C1824" s="936"/>
      <c r="D1824" s="936"/>
      <c r="E1824" s="936"/>
      <c r="AH1824" s="983"/>
      <c r="AI1824" s="983"/>
      <c r="AJ1824" s="968"/>
      <c r="AL1824" s="937"/>
    </row>
    <row r="1825" spans="2:38" s="930" customFormat="1" ht="20.25" customHeight="1" x14ac:dyDescent="0.2">
      <c r="B1825" s="936"/>
      <c r="C1825" s="936"/>
      <c r="D1825" s="936"/>
      <c r="E1825" s="936"/>
      <c r="AH1825" s="983"/>
      <c r="AI1825" s="983"/>
      <c r="AJ1825" s="968"/>
      <c r="AL1825" s="937"/>
    </row>
    <row r="1826" spans="2:38" s="930" customFormat="1" ht="20.25" customHeight="1" x14ac:dyDescent="0.2">
      <c r="B1826" s="936"/>
      <c r="C1826" s="936"/>
      <c r="D1826" s="936"/>
      <c r="E1826" s="936"/>
      <c r="AH1826" s="983"/>
      <c r="AI1826" s="983"/>
      <c r="AJ1826" s="968"/>
      <c r="AL1826" s="937"/>
    </row>
    <row r="1827" spans="2:38" s="930" customFormat="1" ht="20.25" customHeight="1" x14ac:dyDescent="0.2">
      <c r="B1827" s="936"/>
      <c r="C1827" s="936"/>
      <c r="D1827" s="936"/>
      <c r="E1827" s="936"/>
      <c r="AH1827" s="983"/>
      <c r="AI1827" s="983"/>
      <c r="AJ1827" s="968"/>
      <c r="AL1827" s="937"/>
    </row>
    <row r="1828" spans="2:38" s="930" customFormat="1" ht="20.25" customHeight="1" x14ac:dyDescent="0.2">
      <c r="B1828" s="936"/>
      <c r="C1828" s="936"/>
      <c r="D1828" s="936"/>
      <c r="E1828" s="936"/>
      <c r="AH1828" s="983"/>
      <c r="AI1828" s="983"/>
      <c r="AJ1828" s="968"/>
      <c r="AL1828" s="937"/>
    </row>
    <row r="1829" spans="2:38" s="930" customFormat="1" ht="20.25" customHeight="1" x14ac:dyDescent="0.2">
      <c r="B1829" s="936"/>
      <c r="C1829" s="936"/>
      <c r="D1829" s="936"/>
      <c r="E1829" s="936"/>
      <c r="AH1829" s="983"/>
      <c r="AI1829" s="983"/>
      <c r="AJ1829" s="968"/>
      <c r="AL1829" s="937"/>
    </row>
    <row r="1830" spans="2:38" s="930" customFormat="1" ht="20.25" customHeight="1" x14ac:dyDescent="0.2">
      <c r="B1830" s="936"/>
      <c r="C1830" s="936"/>
      <c r="D1830" s="936"/>
      <c r="E1830" s="936"/>
      <c r="AH1830" s="983"/>
      <c r="AI1830" s="983"/>
      <c r="AJ1830" s="968"/>
      <c r="AL1830" s="937"/>
    </row>
    <row r="1831" spans="2:38" s="930" customFormat="1" ht="20.25" customHeight="1" x14ac:dyDescent="0.2">
      <c r="B1831" s="936"/>
      <c r="C1831" s="936"/>
      <c r="D1831" s="936"/>
      <c r="E1831" s="936"/>
      <c r="AH1831" s="983"/>
      <c r="AI1831" s="983"/>
      <c r="AJ1831" s="968"/>
      <c r="AL1831" s="937"/>
    </row>
    <row r="1832" spans="2:38" s="930" customFormat="1" ht="20.25" customHeight="1" x14ac:dyDescent="0.2">
      <c r="B1832" s="936"/>
      <c r="C1832" s="936"/>
      <c r="D1832" s="936"/>
      <c r="E1832" s="936"/>
      <c r="AH1832" s="983"/>
      <c r="AI1832" s="983"/>
      <c r="AJ1832" s="968"/>
      <c r="AL1832" s="937"/>
    </row>
    <row r="1833" spans="2:38" s="930" customFormat="1" ht="20.25" customHeight="1" x14ac:dyDescent="0.2">
      <c r="B1833" s="936"/>
      <c r="C1833" s="936"/>
      <c r="D1833" s="936"/>
      <c r="E1833" s="936"/>
      <c r="AH1833" s="983"/>
      <c r="AI1833" s="983"/>
      <c r="AJ1833" s="968"/>
      <c r="AL1833" s="937"/>
    </row>
    <row r="1834" spans="2:38" s="930" customFormat="1" ht="20.25" customHeight="1" x14ac:dyDescent="0.2">
      <c r="B1834" s="936"/>
      <c r="C1834" s="936"/>
      <c r="D1834" s="936"/>
      <c r="E1834" s="936"/>
      <c r="AH1834" s="983"/>
      <c r="AI1834" s="983"/>
      <c r="AJ1834" s="968"/>
      <c r="AL1834" s="937"/>
    </row>
    <row r="1835" spans="2:38" s="930" customFormat="1" ht="20.25" customHeight="1" x14ac:dyDescent="0.2">
      <c r="B1835" s="936"/>
      <c r="C1835" s="936"/>
      <c r="D1835" s="936"/>
      <c r="E1835" s="936"/>
      <c r="AH1835" s="983"/>
      <c r="AI1835" s="983"/>
      <c r="AJ1835" s="968"/>
      <c r="AL1835" s="937"/>
    </row>
    <row r="1836" spans="2:38" s="930" customFormat="1" ht="20.25" customHeight="1" x14ac:dyDescent="0.2">
      <c r="B1836" s="936"/>
      <c r="C1836" s="936"/>
      <c r="D1836" s="936"/>
      <c r="E1836" s="936"/>
      <c r="AH1836" s="983"/>
      <c r="AI1836" s="983"/>
      <c r="AJ1836" s="968"/>
      <c r="AL1836" s="937"/>
    </row>
    <row r="1837" spans="2:38" s="930" customFormat="1" ht="20.25" customHeight="1" x14ac:dyDescent="0.2">
      <c r="B1837" s="936"/>
      <c r="C1837" s="936"/>
      <c r="D1837" s="936"/>
      <c r="E1837" s="936"/>
      <c r="AH1837" s="983"/>
      <c r="AI1837" s="983"/>
      <c r="AJ1837" s="968"/>
      <c r="AL1837" s="937"/>
    </row>
    <row r="1838" spans="2:38" s="930" customFormat="1" ht="20.25" customHeight="1" x14ac:dyDescent="0.2">
      <c r="B1838" s="936"/>
      <c r="C1838" s="936"/>
      <c r="D1838" s="936"/>
      <c r="E1838" s="936"/>
      <c r="AH1838" s="983"/>
      <c r="AI1838" s="983"/>
      <c r="AJ1838" s="968"/>
      <c r="AL1838" s="937"/>
    </row>
    <row r="1839" spans="2:38" s="930" customFormat="1" ht="20.25" customHeight="1" x14ac:dyDescent="0.2">
      <c r="B1839" s="936"/>
      <c r="C1839" s="936"/>
      <c r="D1839" s="936"/>
      <c r="E1839" s="936"/>
      <c r="AH1839" s="983"/>
      <c r="AI1839" s="983"/>
      <c r="AJ1839" s="968"/>
      <c r="AL1839" s="937"/>
    </row>
    <row r="1840" spans="2:38" s="930" customFormat="1" ht="20.25" customHeight="1" x14ac:dyDescent="0.2">
      <c r="B1840" s="936"/>
      <c r="C1840" s="936"/>
      <c r="D1840" s="936"/>
      <c r="E1840" s="936"/>
      <c r="AH1840" s="983"/>
      <c r="AI1840" s="983"/>
      <c r="AJ1840" s="968"/>
      <c r="AL1840" s="937"/>
    </row>
    <row r="1841" spans="2:38" s="930" customFormat="1" ht="20.25" customHeight="1" x14ac:dyDescent="0.2">
      <c r="B1841" s="936"/>
      <c r="C1841" s="936"/>
      <c r="D1841" s="936"/>
      <c r="E1841" s="936"/>
      <c r="AH1841" s="983"/>
      <c r="AI1841" s="983"/>
      <c r="AJ1841" s="968"/>
      <c r="AL1841" s="937"/>
    </row>
    <row r="1842" spans="2:38" s="930" customFormat="1" ht="20.25" customHeight="1" x14ac:dyDescent="0.2">
      <c r="B1842" s="936"/>
      <c r="C1842" s="936"/>
      <c r="D1842" s="936"/>
      <c r="E1842" s="936"/>
      <c r="AH1842" s="983"/>
      <c r="AI1842" s="983"/>
      <c r="AJ1842" s="968"/>
      <c r="AL1842" s="937"/>
    </row>
    <row r="1843" spans="2:38" s="930" customFormat="1" ht="20.25" customHeight="1" x14ac:dyDescent="0.2">
      <c r="B1843" s="936"/>
      <c r="C1843" s="936"/>
      <c r="D1843" s="936"/>
      <c r="E1843" s="936"/>
      <c r="AH1843" s="983"/>
      <c r="AI1843" s="983"/>
      <c r="AJ1843" s="968"/>
      <c r="AL1843" s="937"/>
    </row>
    <row r="1844" spans="2:38" s="930" customFormat="1" ht="20.25" customHeight="1" x14ac:dyDescent="0.2">
      <c r="B1844" s="936"/>
      <c r="C1844" s="936"/>
      <c r="D1844" s="936"/>
      <c r="E1844" s="936"/>
      <c r="AH1844" s="983"/>
      <c r="AI1844" s="983"/>
      <c r="AJ1844" s="968"/>
      <c r="AL1844" s="937"/>
    </row>
    <row r="1845" spans="2:38" s="930" customFormat="1" ht="20.25" customHeight="1" x14ac:dyDescent="0.2">
      <c r="B1845" s="936"/>
      <c r="C1845" s="936"/>
      <c r="D1845" s="936"/>
      <c r="E1845" s="936"/>
      <c r="AH1845" s="983"/>
      <c r="AI1845" s="983"/>
      <c r="AJ1845" s="968"/>
      <c r="AL1845" s="937"/>
    </row>
    <row r="1846" spans="2:38" s="930" customFormat="1" ht="20.25" customHeight="1" x14ac:dyDescent="0.2">
      <c r="B1846" s="936"/>
      <c r="C1846" s="936"/>
      <c r="D1846" s="936"/>
      <c r="E1846" s="936"/>
      <c r="AH1846" s="983"/>
      <c r="AI1846" s="983"/>
      <c r="AJ1846" s="968"/>
      <c r="AL1846" s="937"/>
    </row>
    <row r="1847" spans="2:38" s="930" customFormat="1" ht="20.25" customHeight="1" x14ac:dyDescent="0.2">
      <c r="B1847" s="936"/>
      <c r="C1847" s="936"/>
      <c r="D1847" s="936"/>
      <c r="E1847" s="936"/>
      <c r="AH1847" s="983"/>
      <c r="AI1847" s="983"/>
      <c r="AJ1847" s="968"/>
      <c r="AL1847" s="937"/>
    </row>
    <row r="1848" spans="2:38" s="930" customFormat="1" ht="20.25" customHeight="1" x14ac:dyDescent="0.2">
      <c r="B1848" s="936"/>
      <c r="C1848" s="936"/>
      <c r="D1848" s="936"/>
      <c r="E1848" s="936"/>
      <c r="AH1848" s="983"/>
      <c r="AI1848" s="983"/>
      <c r="AJ1848" s="968"/>
      <c r="AL1848" s="937"/>
    </row>
    <row r="1849" spans="2:38" s="930" customFormat="1" ht="20.25" customHeight="1" x14ac:dyDescent="0.2">
      <c r="B1849" s="936"/>
      <c r="C1849" s="936"/>
      <c r="D1849" s="936"/>
      <c r="E1849" s="936"/>
      <c r="AH1849" s="983"/>
      <c r="AI1849" s="983"/>
      <c r="AJ1849" s="968"/>
      <c r="AL1849" s="937"/>
    </row>
    <row r="1850" spans="2:38" s="930" customFormat="1" ht="20.25" customHeight="1" x14ac:dyDescent="0.2">
      <c r="B1850" s="936"/>
      <c r="C1850" s="936"/>
      <c r="D1850" s="936"/>
      <c r="E1850" s="936"/>
      <c r="AH1850" s="983"/>
      <c r="AI1850" s="983"/>
      <c r="AJ1850" s="968"/>
      <c r="AL1850" s="937"/>
    </row>
    <row r="1851" spans="2:38" s="930" customFormat="1" ht="20.25" customHeight="1" x14ac:dyDescent="0.2">
      <c r="B1851" s="936"/>
      <c r="C1851" s="936"/>
      <c r="D1851" s="936"/>
      <c r="E1851" s="936"/>
      <c r="AH1851" s="983"/>
      <c r="AI1851" s="983"/>
      <c r="AJ1851" s="968"/>
      <c r="AL1851" s="937"/>
    </row>
    <row r="1852" spans="2:38" s="930" customFormat="1" ht="20.25" customHeight="1" x14ac:dyDescent="0.2">
      <c r="B1852" s="936"/>
      <c r="C1852" s="936"/>
      <c r="D1852" s="936"/>
      <c r="E1852" s="936"/>
      <c r="AH1852" s="983"/>
      <c r="AI1852" s="983"/>
      <c r="AJ1852" s="968"/>
      <c r="AL1852" s="937"/>
    </row>
    <row r="1853" spans="2:38" s="930" customFormat="1" ht="20.25" customHeight="1" x14ac:dyDescent="0.2">
      <c r="B1853" s="936"/>
      <c r="C1853" s="936"/>
      <c r="D1853" s="936"/>
      <c r="E1853" s="936"/>
      <c r="AH1853" s="983"/>
      <c r="AI1853" s="983"/>
      <c r="AJ1853" s="968"/>
      <c r="AL1853" s="937"/>
    </row>
    <row r="1854" spans="2:38" s="930" customFormat="1" ht="20.25" customHeight="1" x14ac:dyDescent="0.2">
      <c r="B1854" s="936"/>
      <c r="C1854" s="936"/>
      <c r="D1854" s="936"/>
      <c r="E1854" s="936"/>
      <c r="AH1854" s="983"/>
      <c r="AI1854" s="983"/>
      <c r="AJ1854" s="968"/>
      <c r="AL1854" s="937"/>
    </row>
    <row r="1855" spans="2:38" s="930" customFormat="1" ht="20.25" customHeight="1" x14ac:dyDescent="0.2">
      <c r="B1855" s="936"/>
      <c r="C1855" s="936"/>
      <c r="D1855" s="936"/>
      <c r="E1855" s="936"/>
      <c r="AH1855" s="983"/>
      <c r="AI1855" s="983"/>
      <c r="AJ1855" s="968"/>
      <c r="AL1855" s="937"/>
    </row>
    <row r="1856" spans="2:38" s="930" customFormat="1" ht="20.25" customHeight="1" x14ac:dyDescent="0.2">
      <c r="B1856" s="936"/>
      <c r="C1856" s="936"/>
      <c r="D1856" s="936"/>
      <c r="E1856" s="936"/>
      <c r="AH1856" s="983"/>
      <c r="AI1856" s="983"/>
      <c r="AJ1856" s="968"/>
      <c r="AL1856" s="937"/>
    </row>
    <row r="1857" spans="2:38" s="930" customFormat="1" ht="20.25" customHeight="1" x14ac:dyDescent="0.2">
      <c r="B1857" s="936"/>
      <c r="C1857" s="936"/>
      <c r="D1857" s="936"/>
      <c r="E1857" s="936"/>
      <c r="AH1857" s="983"/>
      <c r="AI1857" s="983"/>
      <c r="AJ1857" s="968"/>
      <c r="AL1857" s="937"/>
    </row>
    <row r="1858" spans="2:38" s="930" customFormat="1" ht="20.25" customHeight="1" x14ac:dyDescent="0.2">
      <c r="B1858" s="936"/>
      <c r="C1858" s="936"/>
      <c r="D1858" s="936"/>
      <c r="E1858" s="936"/>
      <c r="AH1858" s="983"/>
      <c r="AI1858" s="983"/>
      <c r="AJ1858" s="968"/>
      <c r="AL1858" s="937"/>
    </row>
    <row r="1859" spans="2:38" s="930" customFormat="1" ht="20.25" customHeight="1" x14ac:dyDescent="0.2">
      <c r="B1859" s="936"/>
      <c r="C1859" s="936"/>
      <c r="D1859" s="936"/>
      <c r="E1859" s="936"/>
      <c r="AH1859" s="983"/>
      <c r="AI1859" s="983"/>
      <c r="AJ1859" s="968"/>
      <c r="AL1859" s="937"/>
    </row>
    <row r="1860" spans="2:38" s="930" customFormat="1" ht="20.25" customHeight="1" x14ac:dyDescent="0.2">
      <c r="B1860" s="936"/>
      <c r="C1860" s="936"/>
      <c r="D1860" s="936"/>
      <c r="E1860" s="936"/>
      <c r="AH1860" s="983"/>
      <c r="AI1860" s="983"/>
      <c r="AJ1860" s="968"/>
      <c r="AL1860" s="937"/>
    </row>
    <row r="1861" spans="2:38" s="930" customFormat="1" ht="20.25" customHeight="1" x14ac:dyDescent="0.2">
      <c r="B1861" s="936"/>
      <c r="C1861" s="936"/>
      <c r="D1861" s="936"/>
      <c r="E1861" s="936"/>
      <c r="AH1861" s="983"/>
      <c r="AI1861" s="983"/>
      <c r="AJ1861" s="968"/>
      <c r="AL1861" s="937"/>
    </row>
    <row r="1862" spans="2:38" s="930" customFormat="1" ht="20.25" customHeight="1" x14ac:dyDescent="0.2">
      <c r="B1862" s="936"/>
      <c r="C1862" s="936"/>
      <c r="D1862" s="936"/>
      <c r="E1862" s="936"/>
      <c r="AH1862" s="983"/>
      <c r="AI1862" s="983"/>
      <c r="AJ1862" s="968"/>
      <c r="AL1862" s="937"/>
    </row>
    <row r="1863" spans="2:38" s="930" customFormat="1" ht="20.25" customHeight="1" x14ac:dyDescent="0.2">
      <c r="B1863" s="936"/>
      <c r="C1863" s="936"/>
      <c r="D1863" s="936"/>
      <c r="E1863" s="936"/>
      <c r="AH1863" s="983"/>
      <c r="AI1863" s="983"/>
      <c r="AJ1863" s="968"/>
      <c r="AL1863" s="937"/>
    </row>
    <row r="1864" spans="2:38" s="930" customFormat="1" ht="20.25" customHeight="1" x14ac:dyDescent="0.2">
      <c r="B1864" s="936"/>
      <c r="C1864" s="936"/>
      <c r="D1864" s="936"/>
      <c r="E1864" s="936"/>
      <c r="AH1864" s="983"/>
      <c r="AI1864" s="983"/>
      <c r="AJ1864" s="968"/>
      <c r="AL1864" s="937"/>
    </row>
    <row r="1865" spans="2:38" s="930" customFormat="1" ht="20.25" customHeight="1" x14ac:dyDescent="0.2">
      <c r="B1865" s="936"/>
      <c r="C1865" s="936"/>
      <c r="D1865" s="936"/>
      <c r="E1865" s="936"/>
      <c r="AH1865" s="983"/>
      <c r="AI1865" s="983"/>
      <c r="AJ1865" s="968"/>
      <c r="AL1865" s="937"/>
    </row>
    <row r="1866" spans="2:38" s="930" customFormat="1" ht="20.25" customHeight="1" x14ac:dyDescent="0.2">
      <c r="B1866" s="936"/>
      <c r="C1866" s="936"/>
      <c r="D1866" s="936"/>
      <c r="E1866" s="936"/>
      <c r="AH1866" s="983"/>
      <c r="AI1866" s="983"/>
      <c r="AJ1866" s="968"/>
      <c r="AL1866" s="937"/>
    </row>
    <row r="1867" spans="2:38" s="930" customFormat="1" ht="20.25" customHeight="1" x14ac:dyDescent="0.2">
      <c r="B1867" s="936"/>
      <c r="C1867" s="936"/>
      <c r="D1867" s="936"/>
      <c r="E1867" s="936"/>
      <c r="AH1867" s="983"/>
      <c r="AI1867" s="983"/>
      <c r="AJ1867" s="968"/>
      <c r="AL1867" s="937"/>
    </row>
    <row r="1868" spans="2:38" s="930" customFormat="1" ht="20.25" customHeight="1" x14ac:dyDescent="0.2">
      <c r="B1868" s="936"/>
      <c r="C1868" s="936"/>
      <c r="D1868" s="936"/>
      <c r="E1868" s="936"/>
      <c r="AH1868" s="983"/>
      <c r="AI1868" s="983"/>
      <c r="AJ1868" s="968"/>
      <c r="AL1868" s="937"/>
    </row>
    <row r="1869" spans="2:38" s="930" customFormat="1" ht="20.25" customHeight="1" x14ac:dyDescent="0.2">
      <c r="B1869" s="936"/>
      <c r="C1869" s="936"/>
      <c r="D1869" s="936"/>
      <c r="E1869" s="936"/>
      <c r="AH1869" s="983"/>
      <c r="AI1869" s="983"/>
      <c r="AJ1869" s="968"/>
      <c r="AL1869" s="937"/>
    </row>
    <row r="1870" spans="2:38" s="930" customFormat="1" ht="20.25" customHeight="1" x14ac:dyDescent="0.2">
      <c r="B1870" s="936"/>
      <c r="C1870" s="936"/>
      <c r="D1870" s="936"/>
      <c r="E1870" s="936"/>
      <c r="AH1870" s="983"/>
      <c r="AI1870" s="983"/>
      <c r="AJ1870" s="968"/>
      <c r="AL1870" s="937"/>
    </row>
    <row r="1871" spans="2:38" s="930" customFormat="1" ht="20.25" customHeight="1" x14ac:dyDescent="0.2">
      <c r="B1871" s="936"/>
      <c r="C1871" s="936"/>
      <c r="D1871" s="936"/>
      <c r="E1871" s="936"/>
      <c r="AH1871" s="983"/>
      <c r="AI1871" s="983"/>
      <c r="AJ1871" s="968"/>
      <c r="AL1871" s="937"/>
    </row>
    <row r="1872" spans="2:38" s="930" customFormat="1" ht="20.25" customHeight="1" x14ac:dyDescent="0.2">
      <c r="B1872" s="936"/>
      <c r="C1872" s="936"/>
      <c r="D1872" s="936"/>
      <c r="E1872" s="936"/>
      <c r="AH1872" s="983"/>
      <c r="AI1872" s="983"/>
      <c r="AJ1872" s="968"/>
      <c r="AL1872" s="937"/>
    </row>
    <row r="1873" spans="2:38" s="930" customFormat="1" ht="20.25" customHeight="1" x14ac:dyDescent="0.2">
      <c r="B1873" s="936"/>
      <c r="C1873" s="936"/>
      <c r="D1873" s="936"/>
      <c r="E1873" s="936"/>
      <c r="AH1873" s="983"/>
      <c r="AI1873" s="983"/>
      <c r="AJ1873" s="968"/>
      <c r="AL1873" s="937"/>
    </row>
    <row r="1874" spans="2:38" s="930" customFormat="1" ht="20.25" customHeight="1" x14ac:dyDescent="0.2">
      <c r="B1874" s="936"/>
      <c r="C1874" s="936"/>
      <c r="D1874" s="936"/>
      <c r="E1874" s="936"/>
      <c r="AH1874" s="983"/>
      <c r="AI1874" s="983"/>
      <c r="AJ1874" s="968"/>
      <c r="AL1874" s="937"/>
    </row>
    <row r="1875" spans="2:38" s="930" customFormat="1" ht="20.25" customHeight="1" x14ac:dyDescent="0.2">
      <c r="B1875" s="936"/>
      <c r="C1875" s="936"/>
      <c r="D1875" s="936"/>
      <c r="E1875" s="936"/>
      <c r="AH1875" s="983"/>
      <c r="AI1875" s="983"/>
      <c r="AJ1875" s="968"/>
      <c r="AL1875" s="937"/>
    </row>
    <row r="1876" spans="2:38" s="930" customFormat="1" ht="20.25" customHeight="1" x14ac:dyDescent="0.2">
      <c r="B1876" s="936"/>
      <c r="C1876" s="936"/>
      <c r="D1876" s="936"/>
      <c r="E1876" s="936"/>
      <c r="AH1876" s="983"/>
      <c r="AI1876" s="983"/>
      <c r="AJ1876" s="968"/>
      <c r="AL1876" s="937"/>
    </row>
    <row r="1877" spans="2:38" s="930" customFormat="1" ht="20.25" customHeight="1" x14ac:dyDescent="0.2">
      <c r="B1877" s="936"/>
      <c r="C1877" s="936"/>
      <c r="D1877" s="936"/>
      <c r="E1877" s="936"/>
      <c r="AH1877" s="983"/>
      <c r="AI1877" s="983"/>
      <c r="AJ1877" s="968"/>
      <c r="AL1877" s="937"/>
    </row>
    <row r="1878" spans="2:38" s="930" customFormat="1" ht="20.25" customHeight="1" x14ac:dyDescent="0.2">
      <c r="B1878" s="936"/>
      <c r="C1878" s="936"/>
      <c r="D1878" s="936"/>
      <c r="E1878" s="936"/>
      <c r="AH1878" s="983"/>
      <c r="AI1878" s="983"/>
      <c r="AJ1878" s="968"/>
      <c r="AL1878" s="937"/>
    </row>
    <row r="1879" spans="2:38" s="930" customFormat="1" ht="20.25" customHeight="1" x14ac:dyDescent="0.2">
      <c r="B1879" s="936"/>
      <c r="C1879" s="936"/>
      <c r="D1879" s="936"/>
      <c r="E1879" s="936"/>
      <c r="AH1879" s="983"/>
      <c r="AI1879" s="983"/>
      <c r="AJ1879" s="968"/>
      <c r="AL1879" s="937"/>
    </row>
    <row r="1880" spans="2:38" s="930" customFormat="1" ht="20.25" customHeight="1" x14ac:dyDescent="0.2">
      <c r="B1880" s="936"/>
      <c r="C1880" s="936"/>
      <c r="D1880" s="936"/>
      <c r="E1880" s="936"/>
      <c r="AH1880" s="983"/>
      <c r="AI1880" s="983"/>
      <c r="AJ1880" s="968"/>
      <c r="AL1880" s="937"/>
    </row>
    <row r="1881" spans="2:38" s="930" customFormat="1" ht="20.25" customHeight="1" x14ac:dyDescent="0.2">
      <c r="B1881" s="936"/>
      <c r="C1881" s="936"/>
      <c r="D1881" s="936"/>
      <c r="E1881" s="936"/>
      <c r="AH1881" s="983"/>
      <c r="AI1881" s="983"/>
      <c r="AJ1881" s="968"/>
      <c r="AL1881" s="937"/>
    </row>
    <row r="1882" spans="2:38" s="930" customFormat="1" ht="20.25" customHeight="1" x14ac:dyDescent="0.2">
      <c r="B1882" s="936"/>
      <c r="C1882" s="936"/>
      <c r="D1882" s="936"/>
      <c r="E1882" s="936"/>
      <c r="AH1882" s="983"/>
      <c r="AI1882" s="983"/>
      <c r="AJ1882" s="968"/>
      <c r="AL1882" s="937"/>
    </row>
    <row r="1883" spans="2:38" s="930" customFormat="1" ht="20.25" customHeight="1" x14ac:dyDescent="0.2">
      <c r="B1883" s="936"/>
      <c r="C1883" s="936"/>
      <c r="D1883" s="936"/>
      <c r="E1883" s="936"/>
      <c r="AH1883" s="983"/>
      <c r="AI1883" s="983"/>
      <c r="AJ1883" s="968"/>
      <c r="AL1883" s="937"/>
    </row>
    <row r="1884" spans="2:38" s="930" customFormat="1" ht="20.25" customHeight="1" x14ac:dyDescent="0.2">
      <c r="B1884" s="936"/>
      <c r="C1884" s="936"/>
      <c r="D1884" s="936"/>
      <c r="E1884" s="936"/>
      <c r="AH1884" s="983"/>
      <c r="AI1884" s="983"/>
      <c r="AJ1884" s="968"/>
      <c r="AL1884" s="937"/>
    </row>
    <row r="1885" spans="2:38" s="930" customFormat="1" ht="20.25" customHeight="1" x14ac:dyDescent="0.2">
      <c r="B1885" s="936"/>
      <c r="C1885" s="936"/>
      <c r="D1885" s="936"/>
      <c r="E1885" s="936"/>
      <c r="AH1885" s="983"/>
      <c r="AI1885" s="983"/>
      <c r="AJ1885" s="968"/>
      <c r="AL1885" s="937"/>
    </row>
    <row r="1886" spans="2:38" s="930" customFormat="1" ht="20.25" customHeight="1" x14ac:dyDescent="0.2">
      <c r="B1886" s="936"/>
      <c r="C1886" s="936"/>
      <c r="D1886" s="936"/>
      <c r="E1886" s="936"/>
      <c r="AH1886" s="983"/>
      <c r="AI1886" s="983"/>
      <c r="AJ1886" s="968"/>
      <c r="AL1886" s="937"/>
    </row>
    <row r="1887" spans="2:38" s="930" customFormat="1" ht="20.25" customHeight="1" x14ac:dyDescent="0.2">
      <c r="B1887" s="936"/>
      <c r="C1887" s="936"/>
      <c r="D1887" s="936"/>
      <c r="E1887" s="936"/>
      <c r="AH1887" s="983"/>
      <c r="AI1887" s="983"/>
      <c r="AJ1887" s="968"/>
      <c r="AL1887" s="937"/>
    </row>
    <row r="1888" spans="2:38" s="930" customFormat="1" ht="20.25" customHeight="1" x14ac:dyDescent="0.2">
      <c r="B1888" s="936"/>
      <c r="C1888" s="936"/>
      <c r="D1888" s="936"/>
      <c r="E1888" s="936"/>
      <c r="AH1888" s="983"/>
      <c r="AI1888" s="983"/>
      <c r="AJ1888" s="968"/>
      <c r="AL1888" s="937"/>
    </row>
    <row r="1889" spans="2:38" s="930" customFormat="1" ht="20.25" customHeight="1" x14ac:dyDescent="0.2">
      <c r="B1889" s="936"/>
      <c r="C1889" s="936"/>
      <c r="D1889" s="936"/>
      <c r="E1889" s="936"/>
      <c r="AH1889" s="983"/>
      <c r="AI1889" s="983"/>
      <c r="AJ1889" s="968"/>
      <c r="AL1889" s="937"/>
    </row>
    <row r="1890" spans="2:38" s="930" customFormat="1" ht="20.25" customHeight="1" x14ac:dyDescent="0.2">
      <c r="B1890" s="936"/>
      <c r="C1890" s="936"/>
      <c r="D1890" s="936"/>
      <c r="E1890" s="936"/>
      <c r="AH1890" s="983"/>
      <c r="AI1890" s="983"/>
      <c r="AJ1890" s="968"/>
      <c r="AL1890" s="937"/>
    </row>
    <row r="1891" spans="2:38" s="930" customFormat="1" ht="20.25" customHeight="1" x14ac:dyDescent="0.2">
      <c r="B1891" s="936"/>
      <c r="C1891" s="936"/>
      <c r="D1891" s="936"/>
      <c r="E1891" s="936"/>
      <c r="AH1891" s="983"/>
      <c r="AI1891" s="983"/>
      <c r="AJ1891" s="968"/>
      <c r="AL1891" s="937"/>
    </row>
    <row r="1892" spans="2:38" s="930" customFormat="1" ht="20.25" customHeight="1" x14ac:dyDescent="0.2">
      <c r="B1892" s="936"/>
      <c r="C1892" s="936"/>
      <c r="D1892" s="936"/>
      <c r="E1892" s="936"/>
      <c r="AH1892" s="983"/>
      <c r="AI1892" s="983"/>
      <c r="AJ1892" s="968"/>
      <c r="AL1892" s="937"/>
    </row>
    <row r="1893" spans="2:38" s="930" customFormat="1" ht="20.25" customHeight="1" x14ac:dyDescent="0.2">
      <c r="B1893" s="936"/>
      <c r="C1893" s="936"/>
      <c r="D1893" s="936"/>
      <c r="E1893" s="936"/>
      <c r="AH1893" s="983"/>
      <c r="AI1893" s="983"/>
      <c r="AJ1893" s="968"/>
      <c r="AL1893" s="937"/>
    </row>
    <row r="1894" spans="2:38" s="930" customFormat="1" ht="20.25" customHeight="1" x14ac:dyDescent="0.2">
      <c r="B1894" s="936"/>
      <c r="C1894" s="936"/>
      <c r="D1894" s="936"/>
      <c r="E1894" s="936"/>
      <c r="AH1894" s="983"/>
      <c r="AI1894" s="983"/>
      <c r="AJ1894" s="968"/>
      <c r="AL1894" s="937"/>
    </row>
    <row r="1895" spans="2:38" s="930" customFormat="1" ht="20.25" customHeight="1" x14ac:dyDescent="0.2">
      <c r="B1895" s="936"/>
      <c r="C1895" s="936"/>
      <c r="D1895" s="936"/>
      <c r="E1895" s="936"/>
      <c r="AH1895" s="983"/>
      <c r="AI1895" s="983"/>
      <c r="AJ1895" s="968"/>
      <c r="AL1895" s="937"/>
    </row>
    <row r="1896" spans="2:38" s="930" customFormat="1" ht="20.25" customHeight="1" x14ac:dyDescent="0.2">
      <c r="B1896" s="936"/>
      <c r="C1896" s="936"/>
      <c r="D1896" s="936"/>
      <c r="E1896" s="936"/>
      <c r="AH1896" s="983"/>
      <c r="AI1896" s="983"/>
      <c r="AJ1896" s="968"/>
      <c r="AL1896" s="937"/>
    </row>
    <row r="1897" spans="2:38" s="930" customFormat="1" ht="20.25" customHeight="1" x14ac:dyDescent="0.2">
      <c r="B1897" s="936"/>
      <c r="C1897" s="936"/>
      <c r="D1897" s="936"/>
      <c r="E1897" s="936"/>
      <c r="AH1897" s="983"/>
      <c r="AI1897" s="983"/>
      <c r="AJ1897" s="968"/>
      <c r="AL1897" s="937"/>
    </row>
    <row r="1898" spans="2:38" s="930" customFormat="1" ht="20.25" customHeight="1" x14ac:dyDescent="0.2">
      <c r="B1898" s="936"/>
      <c r="C1898" s="936"/>
      <c r="D1898" s="936"/>
      <c r="E1898" s="936"/>
      <c r="AH1898" s="983"/>
      <c r="AI1898" s="983"/>
      <c r="AJ1898" s="968"/>
      <c r="AL1898" s="937"/>
    </row>
    <row r="1899" spans="2:38" s="930" customFormat="1" ht="20.25" customHeight="1" x14ac:dyDescent="0.2">
      <c r="B1899" s="936"/>
      <c r="C1899" s="936"/>
      <c r="D1899" s="936"/>
      <c r="E1899" s="936"/>
      <c r="AH1899" s="983"/>
      <c r="AI1899" s="983"/>
      <c r="AJ1899" s="968"/>
      <c r="AL1899" s="937"/>
    </row>
    <row r="1900" spans="2:38" s="930" customFormat="1" ht="20.25" customHeight="1" x14ac:dyDescent="0.2">
      <c r="B1900" s="936"/>
      <c r="C1900" s="936"/>
      <c r="D1900" s="936"/>
      <c r="E1900" s="936"/>
      <c r="AH1900" s="983"/>
      <c r="AI1900" s="983"/>
      <c r="AJ1900" s="968"/>
      <c r="AL1900" s="937"/>
    </row>
    <row r="1901" spans="2:38" s="930" customFormat="1" ht="20.25" customHeight="1" x14ac:dyDescent="0.2">
      <c r="B1901" s="936"/>
      <c r="C1901" s="936"/>
      <c r="D1901" s="936"/>
      <c r="E1901" s="936"/>
      <c r="AH1901" s="983"/>
      <c r="AI1901" s="983"/>
      <c r="AJ1901" s="968"/>
      <c r="AL1901" s="937"/>
    </row>
    <row r="1902" spans="2:38" s="930" customFormat="1" ht="20.25" customHeight="1" x14ac:dyDescent="0.2">
      <c r="B1902" s="936"/>
      <c r="C1902" s="936"/>
      <c r="D1902" s="936"/>
      <c r="E1902" s="936"/>
      <c r="AH1902" s="983"/>
      <c r="AI1902" s="983"/>
      <c r="AJ1902" s="968"/>
      <c r="AL1902" s="937"/>
    </row>
    <row r="1903" spans="2:38" s="930" customFormat="1" ht="20.25" customHeight="1" x14ac:dyDescent="0.2">
      <c r="B1903" s="936"/>
      <c r="C1903" s="936"/>
      <c r="D1903" s="936"/>
      <c r="E1903" s="936"/>
      <c r="AH1903" s="983"/>
      <c r="AI1903" s="983"/>
      <c r="AJ1903" s="968"/>
      <c r="AL1903" s="937"/>
    </row>
    <row r="1904" spans="2:38" s="930" customFormat="1" ht="20.25" customHeight="1" x14ac:dyDescent="0.2">
      <c r="B1904" s="936"/>
      <c r="C1904" s="936"/>
      <c r="D1904" s="936"/>
      <c r="E1904" s="936"/>
      <c r="AH1904" s="983"/>
      <c r="AI1904" s="983"/>
      <c r="AJ1904" s="968"/>
      <c r="AL1904" s="937"/>
    </row>
    <row r="1905" spans="2:38" s="930" customFormat="1" ht="20.25" customHeight="1" x14ac:dyDescent="0.2">
      <c r="B1905" s="936"/>
      <c r="C1905" s="936"/>
      <c r="D1905" s="936"/>
      <c r="E1905" s="936"/>
      <c r="AH1905" s="983"/>
      <c r="AI1905" s="983"/>
      <c r="AJ1905" s="968"/>
      <c r="AL1905" s="937"/>
    </row>
    <row r="1906" spans="2:38" s="930" customFormat="1" ht="20.25" customHeight="1" x14ac:dyDescent="0.2">
      <c r="B1906" s="936"/>
      <c r="C1906" s="936"/>
      <c r="D1906" s="936"/>
      <c r="E1906" s="936"/>
      <c r="AH1906" s="983"/>
      <c r="AI1906" s="983"/>
      <c r="AJ1906" s="968"/>
      <c r="AL1906" s="937"/>
    </row>
    <row r="1907" spans="2:38" s="930" customFormat="1" ht="20.25" customHeight="1" x14ac:dyDescent="0.2">
      <c r="B1907" s="936"/>
      <c r="C1907" s="936"/>
      <c r="D1907" s="936"/>
      <c r="E1907" s="936"/>
      <c r="AH1907" s="983"/>
      <c r="AI1907" s="983"/>
      <c r="AJ1907" s="968"/>
      <c r="AL1907" s="937"/>
    </row>
    <row r="1908" spans="2:38" s="930" customFormat="1" ht="20.25" customHeight="1" x14ac:dyDescent="0.2">
      <c r="B1908" s="936"/>
      <c r="C1908" s="936"/>
      <c r="D1908" s="936"/>
      <c r="E1908" s="936"/>
      <c r="AH1908" s="983"/>
      <c r="AI1908" s="983"/>
      <c r="AJ1908" s="968"/>
      <c r="AL1908" s="937"/>
    </row>
    <row r="1909" spans="2:38" s="930" customFormat="1" ht="20.25" customHeight="1" x14ac:dyDescent="0.2">
      <c r="B1909" s="936"/>
      <c r="C1909" s="936"/>
      <c r="D1909" s="936"/>
      <c r="E1909" s="936"/>
      <c r="AH1909" s="983"/>
      <c r="AI1909" s="983"/>
      <c r="AJ1909" s="968"/>
      <c r="AL1909" s="937"/>
    </row>
    <row r="1910" spans="2:38" s="930" customFormat="1" ht="20.25" customHeight="1" x14ac:dyDescent="0.2">
      <c r="B1910" s="936"/>
      <c r="C1910" s="936"/>
      <c r="D1910" s="936"/>
      <c r="E1910" s="936"/>
      <c r="AH1910" s="983"/>
      <c r="AI1910" s="983"/>
      <c r="AJ1910" s="968"/>
      <c r="AL1910" s="937"/>
    </row>
    <row r="1911" spans="2:38" s="930" customFormat="1" ht="20.25" customHeight="1" x14ac:dyDescent="0.2">
      <c r="B1911" s="936"/>
      <c r="C1911" s="936"/>
      <c r="D1911" s="936"/>
      <c r="E1911" s="936"/>
      <c r="AH1911" s="983"/>
      <c r="AI1911" s="983"/>
      <c r="AJ1911" s="968"/>
      <c r="AL1911" s="937"/>
    </row>
    <row r="1912" spans="2:38" s="930" customFormat="1" ht="20.25" customHeight="1" x14ac:dyDescent="0.2">
      <c r="B1912" s="936"/>
      <c r="C1912" s="936"/>
      <c r="D1912" s="936"/>
      <c r="E1912" s="936"/>
      <c r="AH1912" s="983"/>
      <c r="AI1912" s="983"/>
      <c r="AJ1912" s="968"/>
      <c r="AL1912" s="937"/>
    </row>
    <row r="1913" spans="2:38" s="930" customFormat="1" ht="20.25" customHeight="1" x14ac:dyDescent="0.2">
      <c r="B1913" s="936"/>
      <c r="C1913" s="936"/>
      <c r="D1913" s="936"/>
      <c r="E1913" s="936"/>
      <c r="AH1913" s="983"/>
      <c r="AI1913" s="983"/>
      <c r="AJ1913" s="968"/>
      <c r="AL1913" s="937"/>
    </row>
    <row r="1914" spans="2:38" s="930" customFormat="1" ht="20.25" customHeight="1" x14ac:dyDescent="0.2">
      <c r="B1914" s="936"/>
      <c r="C1914" s="936"/>
      <c r="D1914" s="936"/>
      <c r="E1914" s="936"/>
      <c r="AH1914" s="983"/>
      <c r="AI1914" s="983"/>
      <c r="AJ1914" s="968"/>
      <c r="AL1914" s="937"/>
    </row>
    <row r="1915" spans="2:38" s="930" customFormat="1" ht="20.25" customHeight="1" x14ac:dyDescent="0.2">
      <c r="B1915" s="936"/>
      <c r="C1915" s="936"/>
      <c r="D1915" s="936"/>
      <c r="E1915" s="936"/>
      <c r="AH1915" s="983"/>
      <c r="AI1915" s="983"/>
      <c r="AJ1915" s="968"/>
      <c r="AL1915" s="937"/>
    </row>
    <row r="1916" spans="2:38" s="930" customFormat="1" ht="20.25" customHeight="1" x14ac:dyDescent="0.2">
      <c r="B1916" s="936"/>
      <c r="C1916" s="936"/>
      <c r="D1916" s="936"/>
      <c r="E1916" s="936"/>
      <c r="AH1916" s="983"/>
      <c r="AI1916" s="983"/>
      <c r="AJ1916" s="968"/>
      <c r="AL1916" s="937"/>
    </row>
    <row r="1917" spans="2:38" s="930" customFormat="1" ht="20.25" customHeight="1" x14ac:dyDescent="0.2">
      <c r="B1917" s="936"/>
      <c r="C1917" s="936"/>
      <c r="D1917" s="936"/>
      <c r="E1917" s="936"/>
      <c r="AH1917" s="983"/>
      <c r="AI1917" s="983"/>
      <c r="AJ1917" s="968"/>
      <c r="AL1917" s="937"/>
    </row>
    <row r="1918" spans="2:38" s="930" customFormat="1" ht="20.25" customHeight="1" x14ac:dyDescent="0.2">
      <c r="B1918" s="936"/>
      <c r="C1918" s="936"/>
      <c r="D1918" s="936"/>
      <c r="E1918" s="936"/>
      <c r="AH1918" s="983"/>
      <c r="AI1918" s="983"/>
      <c r="AJ1918" s="968"/>
      <c r="AL1918" s="937"/>
    </row>
    <row r="1919" spans="2:38" s="930" customFormat="1" ht="20.25" customHeight="1" x14ac:dyDescent="0.2">
      <c r="B1919" s="936"/>
      <c r="C1919" s="936"/>
      <c r="D1919" s="936"/>
      <c r="E1919" s="936"/>
      <c r="AH1919" s="983"/>
      <c r="AI1919" s="983"/>
      <c r="AJ1919" s="968"/>
      <c r="AL1919" s="937"/>
    </row>
    <row r="1920" spans="2:38" s="930" customFormat="1" ht="20.25" customHeight="1" x14ac:dyDescent="0.2">
      <c r="B1920" s="936"/>
      <c r="C1920" s="936"/>
      <c r="D1920" s="936"/>
      <c r="E1920" s="936"/>
      <c r="AH1920" s="983"/>
      <c r="AI1920" s="983"/>
      <c r="AJ1920" s="968"/>
      <c r="AL1920" s="937"/>
    </row>
    <row r="1921" spans="2:38" s="930" customFormat="1" ht="20.25" customHeight="1" x14ac:dyDescent="0.2">
      <c r="B1921" s="936"/>
      <c r="C1921" s="936"/>
      <c r="D1921" s="936"/>
      <c r="E1921" s="936"/>
      <c r="AH1921" s="983"/>
      <c r="AI1921" s="983"/>
      <c r="AJ1921" s="968"/>
      <c r="AL1921" s="937"/>
    </row>
    <row r="1922" spans="2:38" s="930" customFormat="1" ht="20.25" customHeight="1" x14ac:dyDescent="0.2">
      <c r="B1922" s="936"/>
      <c r="C1922" s="936"/>
      <c r="D1922" s="936"/>
      <c r="E1922" s="936"/>
      <c r="AH1922" s="983"/>
      <c r="AI1922" s="983"/>
      <c r="AJ1922" s="968"/>
      <c r="AL1922" s="937"/>
    </row>
    <row r="1923" spans="2:38" s="930" customFormat="1" ht="20.25" customHeight="1" x14ac:dyDescent="0.2">
      <c r="B1923" s="936"/>
      <c r="C1923" s="936"/>
      <c r="D1923" s="936"/>
      <c r="E1923" s="936"/>
      <c r="AH1923" s="983"/>
      <c r="AI1923" s="983"/>
      <c r="AJ1923" s="968"/>
      <c r="AL1923" s="937"/>
    </row>
    <row r="1924" spans="2:38" s="930" customFormat="1" ht="20.25" customHeight="1" x14ac:dyDescent="0.2">
      <c r="B1924" s="936"/>
      <c r="C1924" s="936"/>
      <c r="D1924" s="936"/>
      <c r="E1924" s="936"/>
      <c r="AH1924" s="983"/>
      <c r="AI1924" s="983"/>
      <c r="AJ1924" s="968"/>
      <c r="AL1924" s="937"/>
    </row>
    <row r="1925" spans="2:38" s="930" customFormat="1" ht="20.25" customHeight="1" x14ac:dyDescent="0.2">
      <c r="B1925" s="936"/>
      <c r="C1925" s="936"/>
      <c r="D1925" s="936"/>
      <c r="E1925" s="936"/>
      <c r="AH1925" s="983"/>
      <c r="AI1925" s="983"/>
      <c r="AJ1925" s="968"/>
      <c r="AL1925" s="937"/>
    </row>
    <row r="1926" spans="2:38" s="930" customFormat="1" ht="20.25" customHeight="1" x14ac:dyDescent="0.2">
      <c r="B1926" s="936"/>
      <c r="C1926" s="936"/>
      <c r="D1926" s="936"/>
      <c r="E1926" s="936"/>
      <c r="AH1926" s="983"/>
      <c r="AI1926" s="983"/>
      <c r="AJ1926" s="968"/>
      <c r="AL1926" s="937"/>
    </row>
    <row r="1927" spans="2:38" s="930" customFormat="1" ht="20.25" customHeight="1" x14ac:dyDescent="0.2">
      <c r="B1927" s="936"/>
      <c r="C1927" s="936"/>
      <c r="D1927" s="936"/>
      <c r="E1927" s="936"/>
      <c r="AH1927" s="983"/>
      <c r="AI1927" s="983"/>
      <c r="AJ1927" s="968"/>
      <c r="AL1927" s="937"/>
    </row>
    <row r="1928" spans="2:38" s="930" customFormat="1" ht="20.25" customHeight="1" x14ac:dyDescent="0.2">
      <c r="B1928" s="936"/>
      <c r="C1928" s="936"/>
      <c r="D1928" s="936"/>
      <c r="E1928" s="936"/>
      <c r="AH1928" s="983"/>
      <c r="AI1928" s="983"/>
      <c r="AJ1928" s="968"/>
      <c r="AL1928" s="937"/>
    </row>
    <row r="1929" spans="2:38" s="930" customFormat="1" ht="20.25" customHeight="1" x14ac:dyDescent="0.2">
      <c r="B1929" s="936"/>
      <c r="C1929" s="936"/>
      <c r="D1929" s="936"/>
      <c r="E1929" s="936"/>
      <c r="AH1929" s="983"/>
      <c r="AI1929" s="983"/>
      <c r="AJ1929" s="968"/>
      <c r="AL1929" s="937"/>
    </row>
    <row r="1930" spans="2:38" s="930" customFormat="1" ht="20.25" customHeight="1" x14ac:dyDescent="0.2">
      <c r="B1930" s="936"/>
      <c r="C1930" s="936"/>
      <c r="D1930" s="936"/>
      <c r="E1930" s="936"/>
      <c r="AH1930" s="983"/>
      <c r="AI1930" s="983"/>
      <c r="AJ1930" s="968"/>
      <c r="AL1930" s="937"/>
    </row>
    <row r="1931" spans="2:38" s="930" customFormat="1" ht="20.25" customHeight="1" x14ac:dyDescent="0.2">
      <c r="B1931" s="936"/>
      <c r="C1931" s="936"/>
      <c r="D1931" s="936"/>
      <c r="E1931" s="936"/>
      <c r="AH1931" s="983"/>
      <c r="AI1931" s="983"/>
      <c r="AJ1931" s="968"/>
      <c r="AL1931" s="937"/>
    </row>
    <row r="1932" spans="2:38" s="930" customFormat="1" ht="20.25" customHeight="1" x14ac:dyDescent="0.2">
      <c r="B1932" s="936"/>
      <c r="C1932" s="936"/>
      <c r="D1932" s="936"/>
      <c r="E1932" s="936"/>
      <c r="AH1932" s="983"/>
      <c r="AI1932" s="983"/>
      <c r="AJ1932" s="968"/>
      <c r="AL1932" s="937"/>
    </row>
    <row r="1933" spans="2:38" s="930" customFormat="1" ht="20.25" customHeight="1" x14ac:dyDescent="0.2">
      <c r="B1933" s="936"/>
      <c r="C1933" s="936"/>
      <c r="D1933" s="936"/>
      <c r="E1933" s="936"/>
      <c r="AH1933" s="983"/>
      <c r="AI1933" s="983"/>
      <c r="AJ1933" s="968"/>
      <c r="AL1933" s="937"/>
    </row>
    <row r="1934" spans="2:38" s="930" customFormat="1" ht="20.25" customHeight="1" x14ac:dyDescent="0.2">
      <c r="B1934" s="936"/>
      <c r="C1934" s="936"/>
      <c r="D1934" s="936"/>
      <c r="E1934" s="936"/>
      <c r="AH1934" s="983"/>
      <c r="AI1934" s="983"/>
      <c r="AJ1934" s="968"/>
      <c r="AL1934" s="937"/>
    </row>
    <row r="1935" spans="2:38" s="930" customFormat="1" ht="20.25" customHeight="1" x14ac:dyDescent="0.2">
      <c r="B1935" s="936"/>
      <c r="C1935" s="936"/>
      <c r="D1935" s="936"/>
      <c r="E1935" s="936"/>
      <c r="AH1935" s="983"/>
      <c r="AI1935" s="983"/>
      <c r="AJ1935" s="968"/>
      <c r="AL1935" s="937"/>
    </row>
    <row r="1936" spans="2:38" s="930" customFormat="1" ht="20.25" customHeight="1" x14ac:dyDescent="0.2">
      <c r="B1936" s="936"/>
      <c r="C1936" s="936"/>
      <c r="D1936" s="936"/>
      <c r="E1936" s="936"/>
      <c r="AH1936" s="983"/>
      <c r="AI1936" s="983"/>
      <c r="AJ1936" s="968"/>
      <c r="AL1936" s="937"/>
    </row>
    <row r="1937" spans="2:38" s="930" customFormat="1" ht="20.25" customHeight="1" x14ac:dyDescent="0.2">
      <c r="B1937" s="936"/>
      <c r="C1937" s="936"/>
      <c r="D1937" s="936"/>
      <c r="E1937" s="936"/>
      <c r="AH1937" s="983"/>
      <c r="AI1937" s="983"/>
      <c r="AJ1937" s="968"/>
      <c r="AL1937" s="937"/>
    </row>
    <row r="1938" spans="2:38" s="930" customFormat="1" ht="20.25" customHeight="1" x14ac:dyDescent="0.2">
      <c r="B1938" s="936"/>
      <c r="C1938" s="936"/>
      <c r="D1938" s="936"/>
      <c r="E1938" s="936"/>
      <c r="AH1938" s="983"/>
      <c r="AI1938" s="983"/>
      <c r="AJ1938" s="968"/>
      <c r="AL1938" s="937"/>
    </row>
    <row r="1939" spans="2:38" s="930" customFormat="1" ht="20.25" customHeight="1" x14ac:dyDescent="0.2">
      <c r="B1939" s="936"/>
      <c r="C1939" s="936"/>
      <c r="D1939" s="936"/>
      <c r="E1939" s="936"/>
      <c r="AH1939" s="983"/>
      <c r="AI1939" s="983"/>
      <c r="AJ1939" s="968"/>
      <c r="AL1939" s="937"/>
    </row>
    <row r="1940" spans="2:38" s="930" customFormat="1" ht="20.25" customHeight="1" x14ac:dyDescent="0.2">
      <c r="B1940" s="936"/>
      <c r="C1940" s="936"/>
      <c r="D1940" s="936"/>
      <c r="E1940" s="936"/>
      <c r="AH1940" s="983"/>
      <c r="AI1940" s="983"/>
      <c r="AJ1940" s="968"/>
      <c r="AL1940" s="937"/>
    </row>
    <row r="1941" spans="2:38" s="930" customFormat="1" ht="20.25" customHeight="1" x14ac:dyDescent="0.2">
      <c r="B1941" s="936"/>
      <c r="C1941" s="936"/>
      <c r="D1941" s="936"/>
      <c r="E1941" s="936"/>
      <c r="AH1941" s="983"/>
      <c r="AI1941" s="983"/>
      <c r="AJ1941" s="968"/>
      <c r="AL1941" s="937"/>
    </row>
    <row r="1942" spans="2:38" s="930" customFormat="1" ht="20.25" customHeight="1" x14ac:dyDescent="0.2">
      <c r="B1942" s="936"/>
      <c r="C1942" s="936"/>
      <c r="D1942" s="936"/>
      <c r="E1942" s="936"/>
      <c r="AH1942" s="983"/>
      <c r="AI1942" s="983"/>
      <c r="AJ1942" s="968"/>
      <c r="AL1942" s="937"/>
    </row>
    <row r="1943" spans="2:38" s="930" customFormat="1" ht="20.25" customHeight="1" x14ac:dyDescent="0.2">
      <c r="B1943" s="936"/>
      <c r="C1943" s="936"/>
      <c r="D1943" s="936"/>
      <c r="E1943" s="936"/>
      <c r="AH1943" s="983"/>
      <c r="AI1943" s="983"/>
      <c r="AJ1943" s="968"/>
      <c r="AL1943" s="937"/>
    </row>
    <row r="1944" spans="2:38" s="930" customFormat="1" ht="20.25" customHeight="1" x14ac:dyDescent="0.2">
      <c r="B1944" s="936"/>
      <c r="C1944" s="936"/>
      <c r="D1944" s="936"/>
      <c r="E1944" s="936"/>
      <c r="AH1944" s="983"/>
      <c r="AI1944" s="983"/>
      <c r="AJ1944" s="968"/>
      <c r="AL1944" s="937"/>
    </row>
    <row r="1945" spans="2:38" s="930" customFormat="1" ht="20.25" customHeight="1" x14ac:dyDescent="0.2">
      <c r="B1945" s="936"/>
      <c r="C1945" s="936"/>
      <c r="D1945" s="936"/>
      <c r="E1945" s="936"/>
      <c r="AH1945" s="983"/>
      <c r="AI1945" s="983"/>
      <c r="AJ1945" s="968"/>
      <c r="AL1945" s="937"/>
    </row>
    <row r="1946" spans="2:38" s="930" customFormat="1" ht="20.25" customHeight="1" x14ac:dyDescent="0.2">
      <c r="B1946" s="936"/>
      <c r="C1946" s="936"/>
      <c r="D1946" s="936"/>
      <c r="E1946" s="936"/>
      <c r="AH1946" s="983"/>
      <c r="AI1946" s="983"/>
      <c r="AJ1946" s="968"/>
      <c r="AL1946" s="937"/>
    </row>
    <row r="1947" spans="2:38" s="930" customFormat="1" ht="20.25" customHeight="1" x14ac:dyDescent="0.2">
      <c r="B1947" s="936"/>
      <c r="C1947" s="936"/>
      <c r="D1947" s="936"/>
      <c r="E1947" s="936"/>
      <c r="AH1947" s="983"/>
      <c r="AI1947" s="983"/>
      <c r="AJ1947" s="968"/>
      <c r="AL1947" s="937"/>
    </row>
    <row r="1948" spans="2:38" s="930" customFormat="1" ht="20.25" customHeight="1" x14ac:dyDescent="0.2">
      <c r="B1948" s="936"/>
      <c r="C1948" s="936"/>
      <c r="D1948" s="936"/>
      <c r="E1948" s="936"/>
      <c r="AH1948" s="983"/>
      <c r="AI1948" s="983"/>
      <c r="AJ1948" s="968"/>
      <c r="AL1948" s="937"/>
    </row>
    <row r="1949" spans="2:38" s="930" customFormat="1" ht="20.25" customHeight="1" x14ac:dyDescent="0.2">
      <c r="B1949" s="936"/>
      <c r="C1949" s="936"/>
      <c r="D1949" s="936"/>
      <c r="E1949" s="936"/>
      <c r="AH1949" s="983"/>
      <c r="AI1949" s="983"/>
      <c r="AJ1949" s="968"/>
      <c r="AL1949" s="937"/>
    </row>
    <row r="1950" spans="2:38" s="930" customFormat="1" ht="20.25" customHeight="1" x14ac:dyDescent="0.2">
      <c r="B1950" s="936"/>
      <c r="C1950" s="936"/>
      <c r="D1950" s="936"/>
      <c r="E1950" s="936"/>
      <c r="AH1950" s="983"/>
      <c r="AI1950" s="983"/>
      <c r="AJ1950" s="968"/>
      <c r="AL1950" s="937"/>
    </row>
    <row r="1951" spans="2:38" s="930" customFormat="1" ht="20.25" customHeight="1" x14ac:dyDescent="0.2">
      <c r="B1951" s="936"/>
      <c r="C1951" s="936"/>
      <c r="D1951" s="936"/>
      <c r="E1951" s="936"/>
      <c r="AH1951" s="983"/>
      <c r="AI1951" s="983"/>
      <c r="AJ1951" s="968"/>
      <c r="AL1951" s="937"/>
    </row>
    <row r="1952" spans="2:38" s="930" customFormat="1" ht="20.25" customHeight="1" x14ac:dyDescent="0.2">
      <c r="B1952" s="936"/>
      <c r="C1952" s="936"/>
      <c r="D1952" s="936"/>
      <c r="E1952" s="936"/>
      <c r="AH1952" s="983"/>
      <c r="AI1952" s="983"/>
      <c r="AJ1952" s="968"/>
      <c r="AL1952" s="937"/>
    </row>
    <row r="1953" spans="2:38" s="930" customFormat="1" ht="20.25" customHeight="1" x14ac:dyDescent="0.2">
      <c r="B1953" s="936"/>
      <c r="C1953" s="936"/>
      <c r="D1953" s="936"/>
      <c r="E1953" s="936"/>
      <c r="AH1953" s="983"/>
      <c r="AI1953" s="983"/>
      <c r="AJ1953" s="968"/>
      <c r="AL1953" s="937"/>
    </row>
    <row r="1954" spans="2:38" s="930" customFormat="1" ht="20.25" customHeight="1" x14ac:dyDescent="0.2">
      <c r="B1954" s="936"/>
      <c r="C1954" s="936"/>
      <c r="D1954" s="936"/>
      <c r="E1954" s="936"/>
      <c r="AH1954" s="983"/>
      <c r="AI1954" s="983"/>
      <c r="AJ1954" s="968"/>
      <c r="AL1954" s="937"/>
    </row>
    <row r="1955" spans="2:38" s="930" customFormat="1" ht="20.25" customHeight="1" x14ac:dyDescent="0.2">
      <c r="B1955" s="936"/>
      <c r="C1955" s="936"/>
      <c r="D1955" s="936"/>
      <c r="E1955" s="936"/>
      <c r="AH1955" s="983"/>
      <c r="AI1955" s="983"/>
      <c r="AJ1955" s="968"/>
      <c r="AL1955" s="937"/>
    </row>
    <row r="1956" spans="2:38" s="930" customFormat="1" ht="20.25" customHeight="1" x14ac:dyDescent="0.2">
      <c r="B1956" s="936"/>
      <c r="C1956" s="936"/>
      <c r="D1956" s="936"/>
      <c r="E1956" s="936"/>
      <c r="AH1956" s="983"/>
      <c r="AI1956" s="983"/>
      <c r="AJ1956" s="968"/>
      <c r="AL1956" s="937"/>
    </row>
    <row r="1957" spans="2:38" s="930" customFormat="1" ht="20.25" customHeight="1" x14ac:dyDescent="0.2">
      <c r="B1957" s="936"/>
      <c r="C1957" s="936"/>
      <c r="D1957" s="936"/>
      <c r="E1957" s="936"/>
      <c r="AH1957" s="983"/>
      <c r="AI1957" s="983"/>
      <c r="AJ1957" s="968"/>
      <c r="AL1957" s="937"/>
    </row>
    <row r="1958" spans="2:38" s="930" customFormat="1" ht="20.25" customHeight="1" x14ac:dyDescent="0.2">
      <c r="B1958" s="936"/>
      <c r="C1958" s="936"/>
      <c r="D1958" s="936"/>
      <c r="E1958" s="936"/>
      <c r="AH1958" s="983"/>
      <c r="AI1958" s="983"/>
      <c r="AJ1958" s="968"/>
      <c r="AL1958" s="937"/>
    </row>
    <row r="1959" spans="2:38" s="930" customFormat="1" ht="20.25" customHeight="1" x14ac:dyDescent="0.2">
      <c r="B1959" s="936"/>
      <c r="C1959" s="936"/>
      <c r="D1959" s="936"/>
      <c r="E1959" s="936"/>
      <c r="AH1959" s="983"/>
      <c r="AI1959" s="983"/>
      <c r="AJ1959" s="968"/>
      <c r="AL1959" s="937"/>
    </row>
    <row r="1960" spans="2:38" s="930" customFormat="1" ht="20.25" customHeight="1" x14ac:dyDescent="0.2">
      <c r="B1960" s="936"/>
      <c r="C1960" s="936"/>
      <c r="D1960" s="936"/>
      <c r="E1960" s="936"/>
      <c r="AH1960" s="983"/>
      <c r="AI1960" s="983"/>
      <c r="AJ1960" s="968"/>
      <c r="AL1960" s="937"/>
    </row>
    <row r="1961" spans="2:38" s="930" customFormat="1" ht="20.25" customHeight="1" x14ac:dyDescent="0.2">
      <c r="B1961" s="936"/>
      <c r="C1961" s="936"/>
      <c r="D1961" s="936"/>
      <c r="E1961" s="936"/>
      <c r="AH1961" s="983"/>
      <c r="AI1961" s="983"/>
      <c r="AJ1961" s="968"/>
      <c r="AL1961" s="937"/>
    </row>
    <row r="1962" spans="2:38" s="930" customFormat="1" ht="20.25" customHeight="1" x14ac:dyDescent="0.2">
      <c r="B1962" s="936"/>
      <c r="C1962" s="936"/>
      <c r="D1962" s="936"/>
      <c r="E1962" s="936"/>
      <c r="AH1962" s="983"/>
      <c r="AI1962" s="983"/>
      <c r="AJ1962" s="968"/>
      <c r="AL1962" s="937"/>
    </row>
    <row r="1963" spans="2:38" s="930" customFormat="1" ht="20.25" customHeight="1" x14ac:dyDescent="0.2">
      <c r="B1963" s="936"/>
      <c r="C1963" s="936"/>
      <c r="D1963" s="936"/>
      <c r="E1963" s="936"/>
      <c r="AH1963" s="983"/>
      <c r="AI1963" s="983"/>
      <c r="AJ1963" s="968"/>
      <c r="AL1963" s="937"/>
    </row>
    <row r="1964" spans="2:38" s="930" customFormat="1" ht="20.25" customHeight="1" x14ac:dyDescent="0.2">
      <c r="B1964" s="936"/>
      <c r="C1964" s="936"/>
      <c r="D1964" s="936"/>
      <c r="E1964" s="936"/>
      <c r="AH1964" s="983"/>
      <c r="AI1964" s="983"/>
      <c r="AJ1964" s="968"/>
      <c r="AL1964" s="937"/>
    </row>
    <row r="1965" spans="2:38" s="930" customFormat="1" ht="20.25" customHeight="1" x14ac:dyDescent="0.2">
      <c r="B1965" s="936"/>
      <c r="C1965" s="936"/>
      <c r="D1965" s="936"/>
      <c r="E1965" s="936"/>
      <c r="AH1965" s="983"/>
      <c r="AI1965" s="983"/>
      <c r="AJ1965" s="968"/>
      <c r="AL1965" s="937"/>
    </row>
    <row r="1966" spans="2:38" s="930" customFormat="1" ht="20.25" customHeight="1" x14ac:dyDescent="0.2">
      <c r="B1966" s="936"/>
      <c r="C1966" s="936"/>
      <c r="D1966" s="936"/>
      <c r="E1966" s="936"/>
      <c r="AH1966" s="983"/>
      <c r="AI1966" s="983"/>
      <c r="AJ1966" s="968"/>
      <c r="AL1966" s="937"/>
    </row>
    <row r="1967" spans="2:38" s="930" customFormat="1" ht="20.25" customHeight="1" x14ac:dyDescent="0.2">
      <c r="B1967" s="936"/>
      <c r="C1967" s="936"/>
      <c r="D1967" s="936"/>
      <c r="E1967" s="936"/>
      <c r="AH1967" s="983"/>
      <c r="AI1967" s="983"/>
      <c r="AJ1967" s="968"/>
      <c r="AL1967" s="937"/>
    </row>
    <row r="1968" spans="2:38" s="930" customFormat="1" ht="20.25" customHeight="1" x14ac:dyDescent="0.2">
      <c r="B1968" s="936"/>
      <c r="C1968" s="936"/>
      <c r="D1968" s="936"/>
      <c r="E1968" s="936"/>
      <c r="AH1968" s="983"/>
      <c r="AI1968" s="983"/>
      <c r="AJ1968" s="968"/>
      <c r="AL1968" s="937"/>
    </row>
    <row r="1969" spans="2:38" s="930" customFormat="1" ht="20.25" customHeight="1" x14ac:dyDescent="0.2">
      <c r="B1969" s="936"/>
      <c r="C1969" s="936"/>
      <c r="D1969" s="936"/>
      <c r="E1969" s="936"/>
      <c r="AH1969" s="983"/>
      <c r="AI1969" s="983"/>
      <c r="AJ1969" s="968"/>
      <c r="AL1969" s="937"/>
    </row>
    <row r="1970" spans="2:38" s="930" customFormat="1" ht="20.25" customHeight="1" x14ac:dyDescent="0.2">
      <c r="B1970" s="936"/>
      <c r="C1970" s="936"/>
      <c r="D1970" s="936"/>
      <c r="E1970" s="936"/>
      <c r="AH1970" s="983"/>
      <c r="AI1970" s="983"/>
      <c r="AJ1970" s="968"/>
      <c r="AL1970" s="937"/>
    </row>
    <row r="1971" spans="2:38" s="930" customFormat="1" ht="20.25" customHeight="1" x14ac:dyDescent="0.2">
      <c r="B1971" s="936"/>
      <c r="C1971" s="936"/>
      <c r="D1971" s="936"/>
      <c r="E1971" s="936"/>
      <c r="AH1971" s="983"/>
      <c r="AI1971" s="983"/>
      <c r="AJ1971" s="968"/>
      <c r="AL1971" s="937"/>
    </row>
    <row r="1972" spans="2:38" s="930" customFormat="1" ht="20.25" customHeight="1" x14ac:dyDescent="0.2">
      <c r="B1972" s="936"/>
      <c r="C1972" s="936"/>
      <c r="D1972" s="936"/>
      <c r="E1972" s="936"/>
      <c r="AH1972" s="983"/>
      <c r="AI1972" s="983"/>
      <c r="AJ1972" s="968"/>
      <c r="AL1972" s="937"/>
    </row>
    <row r="1973" spans="2:38" s="930" customFormat="1" ht="20.25" customHeight="1" x14ac:dyDescent="0.2">
      <c r="B1973" s="936"/>
      <c r="C1973" s="936"/>
      <c r="D1973" s="936"/>
      <c r="E1973" s="936"/>
      <c r="AH1973" s="983"/>
      <c r="AI1973" s="983"/>
      <c r="AJ1973" s="968"/>
      <c r="AL1973" s="937"/>
    </row>
    <row r="1974" spans="2:38" s="930" customFormat="1" ht="20.25" customHeight="1" x14ac:dyDescent="0.2">
      <c r="B1974" s="936"/>
      <c r="C1974" s="936"/>
      <c r="D1974" s="936"/>
      <c r="E1974" s="936"/>
      <c r="AH1974" s="983"/>
      <c r="AI1974" s="983"/>
      <c r="AJ1974" s="968"/>
      <c r="AL1974" s="937"/>
    </row>
    <row r="1975" spans="2:38" s="930" customFormat="1" ht="20.25" customHeight="1" x14ac:dyDescent="0.2">
      <c r="B1975" s="936"/>
      <c r="C1975" s="936"/>
      <c r="D1975" s="936"/>
      <c r="E1975" s="936"/>
      <c r="AH1975" s="983"/>
      <c r="AI1975" s="983"/>
      <c r="AJ1975" s="968"/>
      <c r="AL1975" s="937"/>
    </row>
    <row r="1976" spans="2:38" s="930" customFormat="1" ht="20.25" customHeight="1" x14ac:dyDescent="0.2">
      <c r="B1976" s="936"/>
      <c r="C1976" s="936"/>
      <c r="D1976" s="936"/>
      <c r="E1976" s="936"/>
      <c r="AH1976" s="983"/>
      <c r="AI1976" s="983"/>
      <c r="AJ1976" s="968"/>
      <c r="AL1976" s="937"/>
    </row>
    <row r="1977" spans="2:38" s="930" customFormat="1" ht="20.25" customHeight="1" x14ac:dyDescent="0.2">
      <c r="B1977" s="936"/>
      <c r="C1977" s="936"/>
      <c r="D1977" s="936"/>
      <c r="E1977" s="936"/>
      <c r="AH1977" s="983"/>
      <c r="AI1977" s="983"/>
      <c r="AJ1977" s="968"/>
      <c r="AL1977" s="937"/>
    </row>
    <row r="1978" spans="2:38" s="930" customFormat="1" ht="20.25" customHeight="1" x14ac:dyDescent="0.2">
      <c r="B1978" s="936"/>
      <c r="C1978" s="936"/>
      <c r="D1978" s="936"/>
      <c r="E1978" s="936"/>
      <c r="AH1978" s="983"/>
      <c r="AI1978" s="983"/>
      <c r="AJ1978" s="968"/>
      <c r="AL1978" s="937"/>
    </row>
    <row r="1979" spans="2:38" s="930" customFormat="1" ht="20.25" customHeight="1" x14ac:dyDescent="0.2">
      <c r="B1979" s="936"/>
      <c r="C1979" s="936"/>
      <c r="D1979" s="936"/>
      <c r="E1979" s="936"/>
      <c r="AH1979" s="983"/>
      <c r="AI1979" s="983"/>
      <c r="AJ1979" s="968"/>
      <c r="AL1979" s="937"/>
    </row>
    <row r="1980" spans="2:38" s="930" customFormat="1" ht="20.25" customHeight="1" x14ac:dyDescent="0.2">
      <c r="B1980" s="936"/>
      <c r="C1980" s="936"/>
      <c r="D1980" s="936"/>
      <c r="E1980" s="936"/>
      <c r="AH1980" s="983"/>
      <c r="AI1980" s="983"/>
      <c r="AJ1980" s="968"/>
      <c r="AL1980" s="937"/>
    </row>
    <row r="1981" spans="2:38" s="930" customFormat="1" ht="20.25" customHeight="1" x14ac:dyDescent="0.2">
      <c r="B1981" s="936"/>
      <c r="C1981" s="936"/>
      <c r="D1981" s="936"/>
      <c r="E1981" s="936"/>
      <c r="AH1981" s="983"/>
      <c r="AI1981" s="983"/>
      <c r="AJ1981" s="968"/>
      <c r="AL1981" s="937"/>
    </row>
    <row r="1982" spans="2:38" s="930" customFormat="1" ht="20.25" customHeight="1" x14ac:dyDescent="0.2">
      <c r="B1982" s="936"/>
      <c r="C1982" s="936"/>
      <c r="D1982" s="936"/>
      <c r="E1982" s="936"/>
      <c r="AH1982" s="983"/>
      <c r="AI1982" s="983"/>
      <c r="AJ1982" s="968"/>
      <c r="AL1982" s="937"/>
    </row>
    <row r="1983" spans="2:38" s="930" customFormat="1" ht="20.25" customHeight="1" x14ac:dyDescent="0.2">
      <c r="B1983" s="936"/>
      <c r="C1983" s="936"/>
      <c r="D1983" s="936"/>
      <c r="E1983" s="936"/>
      <c r="AH1983" s="983"/>
      <c r="AI1983" s="983"/>
      <c r="AJ1983" s="968"/>
      <c r="AL1983" s="937"/>
    </row>
    <row r="1984" spans="2:38" s="930" customFormat="1" ht="20.25" customHeight="1" x14ac:dyDescent="0.2">
      <c r="B1984" s="936"/>
      <c r="C1984" s="936"/>
      <c r="D1984" s="936"/>
      <c r="E1984" s="936"/>
      <c r="AH1984" s="983"/>
      <c r="AI1984" s="983"/>
      <c r="AJ1984" s="968"/>
      <c r="AL1984" s="937"/>
    </row>
    <row r="1985" spans="2:38" s="930" customFormat="1" ht="20.25" customHeight="1" x14ac:dyDescent="0.2">
      <c r="B1985" s="936"/>
      <c r="C1985" s="936"/>
      <c r="D1985" s="936"/>
      <c r="E1985" s="936"/>
      <c r="AH1985" s="983"/>
      <c r="AI1985" s="983"/>
      <c r="AJ1985" s="968"/>
      <c r="AL1985" s="937"/>
    </row>
    <row r="1986" spans="2:38" s="930" customFormat="1" ht="20.25" customHeight="1" x14ac:dyDescent="0.2">
      <c r="B1986" s="936"/>
      <c r="C1986" s="936"/>
      <c r="D1986" s="936"/>
      <c r="E1986" s="936"/>
      <c r="AH1986" s="983"/>
      <c r="AI1986" s="983"/>
      <c r="AJ1986" s="968"/>
      <c r="AL1986" s="937"/>
    </row>
    <row r="1987" spans="2:38" s="930" customFormat="1" ht="20.25" customHeight="1" x14ac:dyDescent="0.2">
      <c r="B1987" s="936"/>
      <c r="C1987" s="936"/>
      <c r="D1987" s="936"/>
      <c r="E1987" s="936"/>
      <c r="AH1987" s="983"/>
      <c r="AI1987" s="983"/>
      <c r="AJ1987" s="968"/>
      <c r="AL1987" s="937"/>
    </row>
    <row r="1988" spans="2:38" s="930" customFormat="1" ht="20.25" customHeight="1" x14ac:dyDescent="0.2">
      <c r="B1988" s="936"/>
      <c r="C1988" s="936"/>
      <c r="D1988" s="936"/>
      <c r="E1988" s="936"/>
      <c r="AH1988" s="983"/>
      <c r="AI1988" s="983"/>
      <c r="AJ1988" s="968"/>
      <c r="AL1988" s="937"/>
    </row>
    <row r="1989" spans="2:38" s="930" customFormat="1" ht="20.25" customHeight="1" x14ac:dyDescent="0.2">
      <c r="B1989" s="936"/>
      <c r="C1989" s="936"/>
      <c r="D1989" s="936"/>
      <c r="E1989" s="936"/>
      <c r="AH1989" s="983"/>
      <c r="AI1989" s="983"/>
      <c r="AJ1989" s="968"/>
      <c r="AL1989" s="937"/>
    </row>
    <row r="1990" spans="2:38" s="930" customFormat="1" ht="20.25" customHeight="1" x14ac:dyDescent="0.2">
      <c r="B1990" s="936"/>
      <c r="C1990" s="936"/>
      <c r="D1990" s="936"/>
      <c r="E1990" s="936"/>
      <c r="AH1990" s="983"/>
      <c r="AI1990" s="983"/>
      <c r="AJ1990" s="968"/>
      <c r="AL1990" s="937"/>
    </row>
    <row r="1991" spans="2:38" s="930" customFormat="1" ht="20.25" customHeight="1" x14ac:dyDescent="0.2">
      <c r="B1991" s="936"/>
      <c r="C1991" s="936"/>
      <c r="D1991" s="936"/>
      <c r="E1991" s="936"/>
      <c r="AH1991" s="983"/>
      <c r="AI1991" s="983"/>
      <c r="AJ1991" s="968"/>
      <c r="AL1991" s="937"/>
    </row>
    <row r="1992" spans="2:38" s="930" customFormat="1" ht="20.25" customHeight="1" x14ac:dyDescent="0.2">
      <c r="B1992" s="936"/>
      <c r="C1992" s="936"/>
      <c r="D1992" s="936"/>
      <c r="E1992" s="936"/>
      <c r="AH1992" s="983"/>
      <c r="AI1992" s="983"/>
      <c r="AJ1992" s="968"/>
      <c r="AL1992" s="937"/>
    </row>
    <row r="1993" spans="2:38" s="930" customFormat="1" ht="20.25" customHeight="1" x14ac:dyDescent="0.2">
      <c r="B1993" s="936"/>
      <c r="C1993" s="936"/>
      <c r="D1993" s="936"/>
      <c r="E1993" s="936"/>
      <c r="AH1993" s="983"/>
      <c r="AI1993" s="983"/>
      <c r="AJ1993" s="968"/>
      <c r="AL1993" s="937"/>
    </row>
    <row r="1994" spans="2:38" s="930" customFormat="1" ht="20.25" customHeight="1" x14ac:dyDescent="0.2">
      <c r="B1994" s="936"/>
      <c r="C1994" s="936"/>
      <c r="D1994" s="936"/>
      <c r="E1994" s="936"/>
      <c r="AH1994" s="983"/>
      <c r="AI1994" s="983"/>
      <c r="AJ1994" s="968"/>
      <c r="AL1994" s="937"/>
    </row>
    <row r="1995" spans="2:38" s="930" customFormat="1" ht="20.25" customHeight="1" x14ac:dyDescent="0.2">
      <c r="B1995" s="936"/>
      <c r="C1995" s="936"/>
      <c r="D1995" s="936"/>
      <c r="E1995" s="936"/>
      <c r="AH1995" s="983"/>
      <c r="AI1995" s="983"/>
      <c r="AJ1995" s="968"/>
      <c r="AL1995" s="937"/>
    </row>
    <row r="1996" spans="2:38" s="930" customFormat="1" ht="20.25" customHeight="1" x14ac:dyDescent="0.2">
      <c r="B1996" s="936"/>
      <c r="C1996" s="936"/>
      <c r="D1996" s="936"/>
      <c r="E1996" s="936"/>
      <c r="AH1996" s="983"/>
      <c r="AI1996" s="983"/>
      <c r="AJ1996" s="968"/>
      <c r="AL1996" s="937"/>
    </row>
    <row r="1997" spans="2:38" s="930" customFormat="1" ht="20.25" customHeight="1" x14ac:dyDescent="0.2">
      <c r="B1997" s="936"/>
      <c r="C1997" s="936"/>
      <c r="D1997" s="936"/>
      <c r="E1997" s="936"/>
      <c r="AH1997" s="983"/>
      <c r="AI1997" s="983"/>
      <c r="AJ1997" s="968"/>
      <c r="AL1997" s="937"/>
    </row>
    <row r="1998" spans="2:38" s="930" customFormat="1" ht="20.25" customHeight="1" x14ac:dyDescent="0.2">
      <c r="B1998" s="936"/>
      <c r="C1998" s="936"/>
      <c r="D1998" s="936"/>
      <c r="E1998" s="936"/>
      <c r="AH1998" s="983"/>
      <c r="AI1998" s="983"/>
      <c r="AJ1998" s="968"/>
      <c r="AL1998" s="937"/>
    </row>
    <row r="1999" spans="2:38" s="930" customFormat="1" ht="20.25" customHeight="1" x14ac:dyDescent="0.2">
      <c r="B1999" s="936"/>
      <c r="C1999" s="936"/>
      <c r="D1999" s="936"/>
      <c r="E1999" s="936"/>
      <c r="AH1999" s="983"/>
      <c r="AI1999" s="983"/>
      <c r="AJ1999" s="968"/>
      <c r="AL1999" s="937"/>
    </row>
    <row r="2000" spans="2:38" s="930" customFormat="1" ht="20.25" customHeight="1" x14ac:dyDescent="0.2">
      <c r="B2000" s="936"/>
      <c r="C2000" s="936"/>
      <c r="D2000" s="936"/>
      <c r="E2000" s="936"/>
      <c r="AH2000" s="983"/>
      <c r="AI2000" s="983"/>
      <c r="AJ2000" s="968"/>
      <c r="AL2000" s="937"/>
    </row>
    <row r="2001" spans="2:38" s="930" customFormat="1" ht="20.25" customHeight="1" x14ac:dyDescent="0.2">
      <c r="B2001" s="936"/>
      <c r="C2001" s="936"/>
      <c r="D2001" s="936"/>
      <c r="E2001" s="936"/>
      <c r="AH2001" s="983"/>
      <c r="AI2001" s="983"/>
      <c r="AJ2001" s="968"/>
      <c r="AL2001" s="937"/>
    </row>
    <row r="2002" spans="2:38" s="930" customFormat="1" ht="20.25" customHeight="1" x14ac:dyDescent="0.2">
      <c r="B2002" s="936"/>
      <c r="C2002" s="936"/>
      <c r="D2002" s="936"/>
      <c r="E2002" s="936"/>
      <c r="AH2002" s="983"/>
      <c r="AI2002" s="983"/>
      <c r="AJ2002" s="968"/>
      <c r="AL2002" s="937"/>
    </row>
    <row r="2003" spans="2:38" s="930" customFormat="1" ht="20.25" customHeight="1" x14ac:dyDescent="0.2">
      <c r="B2003" s="936"/>
      <c r="C2003" s="936"/>
      <c r="D2003" s="936"/>
      <c r="E2003" s="936"/>
      <c r="AH2003" s="983"/>
      <c r="AI2003" s="983"/>
      <c r="AJ2003" s="968"/>
      <c r="AL2003" s="937"/>
    </row>
    <row r="2004" spans="2:38" s="930" customFormat="1" ht="20.25" customHeight="1" x14ac:dyDescent="0.2">
      <c r="B2004" s="936"/>
      <c r="C2004" s="936"/>
      <c r="D2004" s="936"/>
      <c r="E2004" s="936"/>
      <c r="AH2004" s="983"/>
      <c r="AI2004" s="983"/>
      <c r="AJ2004" s="968"/>
      <c r="AL2004" s="937"/>
    </row>
    <row r="2005" spans="2:38" s="930" customFormat="1" ht="20.25" customHeight="1" x14ac:dyDescent="0.2">
      <c r="B2005" s="936"/>
      <c r="C2005" s="936"/>
      <c r="D2005" s="936"/>
      <c r="E2005" s="936"/>
      <c r="AH2005" s="983"/>
      <c r="AI2005" s="983"/>
      <c r="AJ2005" s="968"/>
      <c r="AL2005" s="937"/>
    </row>
    <row r="2006" spans="2:38" s="930" customFormat="1" ht="20.25" customHeight="1" x14ac:dyDescent="0.2">
      <c r="B2006" s="936"/>
      <c r="C2006" s="936"/>
      <c r="D2006" s="936"/>
      <c r="E2006" s="936"/>
      <c r="AH2006" s="983"/>
      <c r="AI2006" s="983"/>
      <c r="AJ2006" s="968"/>
      <c r="AL2006" s="937"/>
    </row>
    <row r="2007" spans="2:38" s="930" customFormat="1" ht="20.25" customHeight="1" x14ac:dyDescent="0.2">
      <c r="B2007" s="936"/>
      <c r="C2007" s="936"/>
      <c r="D2007" s="936"/>
      <c r="E2007" s="936"/>
      <c r="AH2007" s="983"/>
      <c r="AI2007" s="983"/>
      <c r="AJ2007" s="968"/>
      <c r="AL2007" s="937"/>
    </row>
    <row r="2008" spans="2:38" s="930" customFormat="1" ht="20.25" customHeight="1" x14ac:dyDescent="0.2">
      <c r="B2008" s="936"/>
      <c r="C2008" s="936"/>
      <c r="D2008" s="936"/>
      <c r="E2008" s="936"/>
      <c r="AH2008" s="983"/>
      <c r="AI2008" s="983"/>
      <c r="AJ2008" s="968"/>
      <c r="AL2008" s="937"/>
    </row>
    <row r="2009" spans="2:38" s="930" customFormat="1" ht="20.25" customHeight="1" x14ac:dyDescent="0.2">
      <c r="B2009" s="936"/>
      <c r="C2009" s="936"/>
      <c r="D2009" s="936"/>
      <c r="E2009" s="936"/>
      <c r="AH2009" s="983"/>
      <c r="AI2009" s="983"/>
      <c r="AJ2009" s="968"/>
      <c r="AL2009" s="937"/>
    </row>
    <row r="2010" spans="2:38" s="930" customFormat="1" ht="20.25" customHeight="1" x14ac:dyDescent="0.2">
      <c r="B2010" s="936"/>
      <c r="C2010" s="936"/>
      <c r="D2010" s="936"/>
      <c r="E2010" s="936"/>
      <c r="AH2010" s="983"/>
      <c r="AI2010" s="983"/>
      <c r="AJ2010" s="968"/>
      <c r="AL2010" s="937"/>
    </row>
    <row r="2011" spans="2:38" s="930" customFormat="1" ht="20.25" customHeight="1" x14ac:dyDescent="0.2">
      <c r="B2011" s="936"/>
      <c r="C2011" s="936"/>
      <c r="D2011" s="936"/>
      <c r="E2011" s="936"/>
      <c r="AH2011" s="983"/>
      <c r="AI2011" s="983"/>
      <c r="AJ2011" s="968"/>
      <c r="AL2011" s="937"/>
    </row>
    <row r="2012" spans="2:38" s="930" customFormat="1" ht="20.25" customHeight="1" x14ac:dyDescent="0.2">
      <c r="B2012" s="936"/>
      <c r="C2012" s="936"/>
      <c r="D2012" s="936"/>
      <c r="E2012" s="936"/>
      <c r="AH2012" s="983"/>
      <c r="AI2012" s="983"/>
      <c r="AJ2012" s="968"/>
      <c r="AL2012" s="937"/>
    </row>
    <row r="2013" spans="2:38" s="930" customFormat="1" ht="20.25" customHeight="1" x14ac:dyDescent="0.2">
      <c r="B2013" s="936"/>
      <c r="C2013" s="936"/>
      <c r="D2013" s="936"/>
      <c r="E2013" s="936"/>
      <c r="AH2013" s="983"/>
      <c r="AI2013" s="983"/>
      <c r="AJ2013" s="968"/>
      <c r="AL2013" s="937"/>
    </row>
    <row r="2014" spans="2:38" s="930" customFormat="1" ht="20.25" customHeight="1" x14ac:dyDescent="0.2">
      <c r="B2014" s="936"/>
      <c r="C2014" s="936"/>
      <c r="D2014" s="936"/>
      <c r="E2014" s="936"/>
      <c r="AH2014" s="983"/>
      <c r="AI2014" s="983"/>
      <c r="AJ2014" s="968"/>
      <c r="AL2014" s="937"/>
    </row>
    <row r="2015" spans="2:38" s="930" customFormat="1" ht="20.25" customHeight="1" x14ac:dyDescent="0.2">
      <c r="B2015" s="936"/>
      <c r="C2015" s="936"/>
      <c r="D2015" s="936"/>
      <c r="E2015" s="936"/>
      <c r="AH2015" s="983"/>
      <c r="AI2015" s="983"/>
      <c r="AJ2015" s="968"/>
      <c r="AL2015" s="937"/>
    </row>
    <row r="2016" spans="2:38" s="930" customFormat="1" ht="20.25" customHeight="1" x14ac:dyDescent="0.2">
      <c r="B2016" s="936"/>
      <c r="C2016" s="936"/>
      <c r="D2016" s="936"/>
      <c r="E2016" s="936"/>
      <c r="AH2016" s="983"/>
      <c r="AI2016" s="983"/>
      <c r="AJ2016" s="968"/>
      <c r="AL2016" s="937"/>
    </row>
    <row r="2017" spans="2:38" s="930" customFormat="1" ht="20.25" customHeight="1" x14ac:dyDescent="0.2">
      <c r="B2017" s="936"/>
      <c r="C2017" s="936"/>
      <c r="D2017" s="936"/>
      <c r="E2017" s="936"/>
      <c r="AH2017" s="983"/>
      <c r="AI2017" s="983"/>
      <c r="AJ2017" s="968"/>
      <c r="AL2017" s="937"/>
    </row>
    <row r="2018" spans="2:38" s="930" customFormat="1" ht="20.25" customHeight="1" x14ac:dyDescent="0.2">
      <c r="B2018" s="936"/>
      <c r="C2018" s="936"/>
      <c r="D2018" s="936"/>
      <c r="E2018" s="936"/>
      <c r="AH2018" s="983"/>
      <c r="AI2018" s="983"/>
      <c r="AJ2018" s="968"/>
      <c r="AL2018" s="937"/>
    </row>
    <row r="2019" spans="2:38" s="930" customFormat="1" ht="20.25" customHeight="1" x14ac:dyDescent="0.2">
      <c r="B2019" s="936"/>
      <c r="C2019" s="936"/>
      <c r="D2019" s="936"/>
      <c r="E2019" s="936"/>
      <c r="AH2019" s="983"/>
      <c r="AI2019" s="983"/>
      <c r="AJ2019" s="968"/>
      <c r="AL2019" s="937"/>
    </row>
    <row r="2020" spans="2:38" s="930" customFormat="1" ht="20.25" customHeight="1" x14ac:dyDescent="0.2">
      <c r="B2020" s="936"/>
      <c r="C2020" s="936"/>
      <c r="D2020" s="936"/>
      <c r="E2020" s="936"/>
      <c r="AH2020" s="983"/>
      <c r="AI2020" s="983"/>
      <c r="AJ2020" s="968"/>
      <c r="AL2020" s="937"/>
    </row>
    <row r="2021" spans="2:38" s="930" customFormat="1" ht="20.25" customHeight="1" x14ac:dyDescent="0.2">
      <c r="B2021" s="936"/>
      <c r="C2021" s="936"/>
      <c r="D2021" s="936"/>
      <c r="E2021" s="936"/>
      <c r="AH2021" s="983"/>
      <c r="AI2021" s="983"/>
      <c r="AJ2021" s="968"/>
      <c r="AL2021" s="937"/>
    </row>
    <row r="2022" spans="2:38" s="930" customFormat="1" ht="20.25" customHeight="1" x14ac:dyDescent="0.2">
      <c r="B2022" s="936"/>
      <c r="C2022" s="936"/>
      <c r="D2022" s="936"/>
      <c r="E2022" s="936"/>
      <c r="AH2022" s="983"/>
      <c r="AI2022" s="983"/>
      <c r="AJ2022" s="968"/>
      <c r="AL2022" s="937"/>
    </row>
    <row r="2023" spans="2:38" s="930" customFormat="1" ht="20.25" customHeight="1" x14ac:dyDescent="0.2">
      <c r="B2023" s="936"/>
      <c r="C2023" s="936"/>
      <c r="D2023" s="936"/>
      <c r="E2023" s="936"/>
      <c r="AH2023" s="983"/>
      <c r="AI2023" s="983"/>
      <c r="AJ2023" s="968"/>
      <c r="AL2023" s="937"/>
    </row>
    <row r="2024" spans="2:38" s="930" customFormat="1" ht="20.25" customHeight="1" x14ac:dyDescent="0.2">
      <c r="B2024" s="936"/>
      <c r="C2024" s="936"/>
      <c r="D2024" s="936"/>
      <c r="E2024" s="936"/>
      <c r="AH2024" s="983"/>
      <c r="AI2024" s="983"/>
      <c r="AJ2024" s="968"/>
      <c r="AL2024" s="937"/>
    </row>
    <row r="2025" spans="2:38" s="930" customFormat="1" ht="20.25" customHeight="1" x14ac:dyDescent="0.2">
      <c r="B2025" s="936"/>
      <c r="C2025" s="936"/>
      <c r="D2025" s="936"/>
      <c r="E2025" s="936"/>
      <c r="AH2025" s="983"/>
      <c r="AI2025" s="983"/>
      <c r="AJ2025" s="968"/>
      <c r="AL2025" s="937"/>
    </row>
    <row r="2026" spans="2:38" s="930" customFormat="1" ht="20.25" customHeight="1" x14ac:dyDescent="0.2">
      <c r="B2026" s="936"/>
      <c r="C2026" s="936"/>
      <c r="D2026" s="936"/>
      <c r="E2026" s="936"/>
      <c r="AH2026" s="983"/>
      <c r="AI2026" s="983"/>
      <c r="AJ2026" s="968"/>
      <c r="AL2026" s="937"/>
    </row>
    <row r="2027" spans="2:38" s="930" customFormat="1" ht="20.25" customHeight="1" x14ac:dyDescent="0.2">
      <c r="B2027" s="936"/>
      <c r="C2027" s="936"/>
      <c r="D2027" s="936"/>
      <c r="E2027" s="936"/>
      <c r="AH2027" s="983"/>
      <c r="AI2027" s="983"/>
      <c r="AJ2027" s="968"/>
      <c r="AL2027" s="937"/>
    </row>
    <row r="2028" spans="2:38" s="930" customFormat="1" ht="20.25" customHeight="1" x14ac:dyDescent="0.2">
      <c r="B2028" s="936"/>
      <c r="C2028" s="936"/>
      <c r="D2028" s="936"/>
      <c r="E2028" s="936"/>
      <c r="AH2028" s="983"/>
      <c r="AI2028" s="983"/>
      <c r="AJ2028" s="968"/>
      <c r="AL2028" s="937"/>
    </row>
    <row r="2029" spans="2:38" s="930" customFormat="1" ht="20.25" customHeight="1" x14ac:dyDescent="0.2">
      <c r="B2029" s="936"/>
      <c r="C2029" s="936"/>
      <c r="D2029" s="936"/>
      <c r="E2029" s="936"/>
      <c r="AH2029" s="983"/>
      <c r="AI2029" s="983"/>
      <c r="AJ2029" s="968"/>
      <c r="AL2029" s="937"/>
    </row>
    <row r="2030" spans="2:38" s="930" customFormat="1" ht="20.25" customHeight="1" x14ac:dyDescent="0.2">
      <c r="B2030" s="936"/>
      <c r="C2030" s="936"/>
      <c r="D2030" s="936"/>
      <c r="E2030" s="936"/>
      <c r="AH2030" s="983"/>
      <c r="AI2030" s="983"/>
      <c r="AJ2030" s="968"/>
      <c r="AL2030" s="937"/>
    </row>
    <row r="2031" spans="2:38" s="930" customFormat="1" ht="20.25" customHeight="1" x14ac:dyDescent="0.2">
      <c r="B2031" s="936"/>
      <c r="C2031" s="936"/>
      <c r="D2031" s="936"/>
      <c r="E2031" s="936"/>
      <c r="AH2031" s="983"/>
      <c r="AI2031" s="983"/>
      <c r="AJ2031" s="968"/>
      <c r="AL2031" s="937"/>
    </row>
    <row r="2032" spans="2:38" s="930" customFormat="1" ht="20.25" customHeight="1" x14ac:dyDescent="0.2">
      <c r="B2032" s="936"/>
      <c r="C2032" s="936"/>
      <c r="D2032" s="936"/>
      <c r="E2032" s="936"/>
      <c r="AH2032" s="983"/>
      <c r="AI2032" s="983"/>
      <c r="AJ2032" s="968"/>
      <c r="AL2032" s="937"/>
    </row>
    <row r="2033" spans="2:38" s="930" customFormat="1" ht="20.25" customHeight="1" x14ac:dyDescent="0.2">
      <c r="B2033" s="936"/>
      <c r="C2033" s="936"/>
      <c r="D2033" s="936"/>
      <c r="E2033" s="936"/>
      <c r="AH2033" s="983"/>
      <c r="AI2033" s="983"/>
      <c r="AJ2033" s="968"/>
      <c r="AL2033" s="937"/>
    </row>
    <row r="2034" spans="2:38" s="930" customFormat="1" ht="20.25" customHeight="1" x14ac:dyDescent="0.2">
      <c r="B2034" s="936"/>
      <c r="C2034" s="936"/>
      <c r="D2034" s="936"/>
      <c r="E2034" s="936"/>
      <c r="AH2034" s="983"/>
      <c r="AI2034" s="983"/>
      <c r="AJ2034" s="968"/>
      <c r="AL2034" s="937"/>
    </row>
    <row r="2035" spans="2:38" s="930" customFormat="1" ht="20.25" customHeight="1" x14ac:dyDescent="0.2">
      <c r="B2035" s="936"/>
      <c r="C2035" s="936"/>
      <c r="D2035" s="936"/>
      <c r="E2035" s="936"/>
      <c r="AH2035" s="983"/>
      <c r="AI2035" s="983"/>
      <c r="AJ2035" s="968"/>
      <c r="AL2035" s="937"/>
    </row>
    <row r="2036" spans="2:38" s="930" customFormat="1" ht="20.25" customHeight="1" x14ac:dyDescent="0.2">
      <c r="B2036" s="936"/>
      <c r="C2036" s="936"/>
      <c r="D2036" s="936"/>
      <c r="E2036" s="936"/>
      <c r="AH2036" s="983"/>
      <c r="AI2036" s="983"/>
      <c r="AJ2036" s="968"/>
      <c r="AL2036" s="937"/>
    </row>
    <row r="2037" spans="2:38" s="930" customFormat="1" ht="20.25" customHeight="1" x14ac:dyDescent="0.2">
      <c r="B2037" s="936"/>
      <c r="C2037" s="936"/>
      <c r="D2037" s="936"/>
      <c r="E2037" s="936"/>
      <c r="AH2037" s="983"/>
      <c r="AI2037" s="983"/>
      <c r="AJ2037" s="968"/>
      <c r="AL2037" s="937"/>
    </row>
    <row r="2038" spans="2:38" s="930" customFormat="1" ht="20.25" customHeight="1" x14ac:dyDescent="0.2">
      <c r="B2038" s="936"/>
      <c r="C2038" s="936"/>
      <c r="D2038" s="936"/>
      <c r="E2038" s="936"/>
      <c r="AH2038" s="983"/>
      <c r="AI2038" s="983"/>
      <c r="AJ2038" s="968"/>
      <c r="AL2038" s="937"/>
    </row>
    <row r="2039" spans="2:38" s="930" customFormat="1" ht="20.25" customHeight="1" x14ac:dyDescent="0.2">
      <c r="B2039" s="936"/>
      <c r="C2039" s="936"/>
      <c r="D2039" s="936"/>
      <c r="E2039" s="936"/>
      <c r="AH2039" s="983"/>
      <c r="AI2039" s="983"/>
      <c r="AJ2039" s="968"/>
      <c r="AL2039" s="937"/>
    </row>
    <row r="2040" spans="2:38" s="930" customFormat="1" ht="20.25" customHeight="1" x14ac:dyDescent="0.2">
      <c r="B2040" s="936"/>
      <c r="C2040" s="936"/>
      <c r="D2040" s="936"/>
      <c r="E2040" s="936"/>
      <c r="AH2040" s="983"/>
      <c r="AI2040" s="983"/>
      <c r="AJ2040" s="968"/>
      <c r="AL2040" s="937"/>
    </row>
    <row r="2041" spans="2:38" s="930" customFormat="1" ht="20.25" customHeight="1" x14ac:dyDescent="0.2">
      <c r="B2041" s="936"/>
      <c r="C2041" s="936"/>
      <c r="D2041" s="936"/>
      <c r="E2041" s="936"/>
      <c r="AH2041" s="983"/>
      <c r="AI2041" s="983"/>
      <c r="AJ2041" s="968"/>
      <c r="AL2041" s="937"/>
    </row>
    <row r="2042" spans="2:38" s="930" customFormat="1" ht="20.25" customHeight="1" x14ac:dyDescent="0.2">
      <c r="B2042" s="936"/>
      <c r="C2042" s="936"/>
      <c r="D2042" s="936"/>
      <c r="E2042" s="936"/>
      <c r="AH2042" s="983"/>
      <c r="AI2042" s="983"/>
      <c r="AJ2042" s="968"/>
      <c r="AL2042" s="937"/>
    </row>
    <row r="2043" spans="2:38" s="930" customFormat="1" ht="20.25" customHeight="1" x14ac:dyDescent="0.2">
      <c r="B2043" s="936"/>
      <c r="C2043" s="936"/>
      <c r="D2043" s="936"/>
      <c r="E2043" s="936"/>
      <c r="AH2043" s="983"/>
      <c r="AI2043" s="983"/>
      <c r="AJ2043" s="968"/>
      <c r="AL2043" s="937"/>
    </row>
    <row r="2044" spans="2:38" s="930" customFormat="1" ht="20.25" customHeight="1" x14ac:dyDescent="0.2">
      <c r="B2044" s="936"/>
      <c r="C2044" s="936"/>
      <c r="D2044" s="936"/>
      <c r="E2044" s="936"/>
      <c r="AH2044" s="983"/>
      <c r="AI2044" s="983"/>
      <c r="AJ2044" s="968"/>
      <c r="AL2044" s="937"/>
    </row>
    <row r="2045" spans="2:38" s="930" customFormat="1" ht="20.25" customHeight="1" x14ac:dyDescent="0.2">
      <c r="B2045" s="936"/>
      <c r="C2045" s="936"/>
      <c r="D2045" s="936"/>
      <c r="E2045" s="936"/>
      <c r="AH2045" s="983"/>
      <c r="AI2045" s="983"/>
      <c r="AJ2045" s="968"/>
      <c r="AL2045" s="937"/>
    </row>
    <row r="2046" spans="2:38" s="930" customFormat="1" ht="20.25" customHeight="1" x14ac:dyDescent="0.2">
      <c r="B2046" s="936"/>
      <c r="C2046" s="936"/>
      <c r="D2046" s="936"/>
      <c r="E2046" s="936"/>
      <c r="AH2046" s="983"/>
      <c r="AI2046" s="983"/>
      <c r="AJ2046" s="968"/>
      <c r="AL2046" s="937"/>
    </row>
    <row r="2047" spans="2:38" s="930" customFormat="1" ht="20.25" customHeight="1" x14ac:dyDescent="0.2">
      <c r="B2047" s="936"/>
      <c r="C2047" s="936"/>
      <c r="D2047" s="936"/>
      <c r="E2047" s="936"/>
      <c r="AH2047" s="983"/>
      <c r="AI2047" s="983"/>
      <c r="AJ2047" s="968"/>
      <c r="AL2047" s="937"/>
    </row>
    <row r="2048" spans="2:38" s="930" customFormat="1" ht="20.25" customHeight="1" x14ac:dyDescent="0.2">
      <c r="B2048" s="936"/>
      <c r="C2048" s="936"/>
      <c r="D2048" s="936"/>
      <c r="E2048" s="936"/>
      <c r="AH2048" s="983"/>
      <c r="AI2048" s="983"/>
      <c r="AJ2048" s="968"/>
      <c r="AL2048" s="937"/>
    </row>
    <row r="2049" spans="2:38" s="930" customFormat="1" ht="20.25" customHeight="1" x14ac:dyDescent="0.2">
      <c r="B2049" s="936"/>
      <c r="C2049" s="936"/>
      <c r="D2049" s="936"/>
      <c r="E2049" s="936"/>
      <c r="AH2049" s="983"/>
      <c r="AI2049" s="983"/>
      <c r="AJ2049" s="968"/>
      <c r="AL2049" s="937"/>
    </row>
    <row r="2050" spans="2:38" s="930" customFormat="1" ht="20.25" customHeight="1" x14ac:dyDescent="0.2">
      <c r="B2050" s="936"/>
      <c r="C2050" s="936"/>
      <c r="D2050" s="936"/>
      <c r="E2050" s="936"/>
      <c r="AH2050" s="983"/>
      <c r="AI2050" s="983"/>
      <c r="AJ2050" s="968"/>
      <c r="AL2050" s="937"/>
    </row>
    <row r="2051" spans="2:38" s="930" customFormat="1" ht="20.25" customHeight="1" x14ac:dyDescent="0.2">
      <c r="B2051" s="936"/>
      <c r="C2051" s="936"/>
      <c r="D2051" s="936"/>
      <c r="E2051" s="936"/>
      <c r="AH2051" s="983"/>
      <c r="AI2051" s="983"/>
      <c r="AJ2051" s="968"/>
      <c r="AL2051" s="937"/>
    </row>
    <row r="2052" spans="2:38" s="930" customFormat="1" ht="20.25" customHeight="1" x14ac:dyDescent="0.2">
      <c r="B2052" s="936"/>
      <c r="C2052" s="936"/>
      <c r="D2052" s="936"/>
      <c r="E2052" s="936"/>
      <c r="AH2052" s="983"/>
      <c r="AI2052" s="983"/>
      <c r="AJ2052" s="968"/>
      <c r="AL2052" s="937"/>
    </row>
    <row r="2053" spans="2:38" s="930" customFormat="1" ht="20.25" customHeight="1" x14ac:dyDescent="0.2">
      <c r="B2053" s="936"/>
      <c r="C2053" s="936"/>
      <c r="D2053" s="936"/>
      <c r="E2053" s="936"/>
      <c r="AH2053" s="983"/>
      <c r="AI2053" s="983"/>
      <c r="AJ2053" s="968"/>
      <c r="AL2053" s="937"/>
    </row>
    <row r="2054" spans="2:38" s="930" customFormat="1" ht="20.25" customHeight="1" x14ac:dyDescent="0.2">
      <c r="B2054" s="936"/>
      <c r="C2054" s="936"/>
      <c r="D2054" s="936"/>
      <c r="E2054" s="936"/>
      <c r="AH2054" s="983"/>
      <c r="AI2054" s="983"/>
      <c r="AJ2054" s="968"/>
      <c r="AL2054" s="937"/>
    </row>
    <row r="2055" spans="2:38" s="930" customFormat="1" ht="20.25" customHeight="1" x14ac:dyDescent="0.2">
      <c r="B2055" s="936"/>
      <c r="C2055" s="936"/>
      <c r="D2055" s="936"/>
      <c r="E2055" s="936"/>
      <c r="AH2055" s="983"/>
      <c r="AI2055" s="983"/>
      <c r="AJ2055" s="968"/>
      <c r="AL2055" s="937"/>
    </row>
    <row r="2056" spans="2:38" s="930" customFormat="1" ht="20.25" customHeight="1" x14ac:dyDescent="0.2">
      <c r="B2056" s="936"/>
      <c r="C2056" s="936"/>
      <c r="D2056" s="936"/>
      <c r="E2056" s="936"/>
      <c r="AH2056" s="983"/>
      <c r="AI2056" s="983"/>
      <c r="AJ2056" s="968"/>
      <c r="AL2056" s="937"/>
    </row>
    <row r="2057" spans="2:38" s="930" customFormat="1" ht="20.25" customHeight="1" x14ac:dyDescent="0.2">
      <c r="B2057" s="936"/>
      <c r="C2057" s="936"/>
      <c r="D2057" s="936"/>
      <c r="E2057" s="936"/>
      <c r="AH2057" s="983"/>
      <c r="AI2057" s="983"/>
      <c r="AJ2057" s="968"/>
      <c r="AL2057" s="937"/>
    </row>
    <row r="2058" spans="2:38" s="930" customFormat="1" ht="20.25" customHeight="1" x14ac:dyDescent="0.2">
      <c r="B2058" s="936"/>
      <c r="C2058" s="936"/>
      <c r="D2058" s="936"/>
      <c r="E2058" s="936"/>
      <c r="AH2058" s="983"/>
      <c r="AI2058" s="983"/>
      <c r="AJ2058" s="968"/>
      <c r="AL2058" s="937"/>
    </row>
    <row r="2059" spans="2:38" s="930" customFormat="1" ht="20.25" customHeight="1" x14ac:dyDescent="0.2">
      <c r="B2059" s="936"/>
      <c r="C2059" s="936"/>
      <c r="D2059" s="936"/>
      <c r="E2059" s="936"/>
      <c r="AH2059" s="983"/>
      <c r="AI2059" s="983"/>
      <c r="AJ2059" s="968"/>
      <c r="AL2059" s="937"/>
    </row>
    <row r="2060" spans="2:38" s="930" customFormat="1" ht="20.25" customHeight="1" x14ac:dyDescent="0.2">
      <c r="B2060" s="936"/>
      <c r="C2060" s="936"/>
      <c r="D2060" s="936"/>
      <c r="E2060" s="936"/>
      <c r="AH2060" s="983"/>
      <c r="AI2060" s="983"/>
      <c r="AJ2060" s="968"/>
      <c r="AL2060" s="937"/>
    </row>
    <row r="2061" spans="2:38" s="930" customFormat="1" ht="20.25" customHeight="1" x14ac:dyDescent="0.2">
      <c r="B2061" s="936"/>
      <c r="C2061" s="936"/>
      <c r="D2061" s="936"/>
      <c r="E2061" s="936"/>
      <c r="AH2061" s="983"/>
      <c r="AI2061" s="983"/>
      <c r="AJ2061" s="968"/>
      <c r="AL2061" s="937"/>
    </row>
    <row r="2062" spans="2:38" s="930" customFormat="1" ht="20.25" customHeight="1" x14ac:dyDescent="0.2">
      <c r="B2062" s="936"/>
      <c r="C2062" s="936"/>
      <c r="D2062" s="936"/>
      <c r="E2062" s="936"/>
      <c r="AH2062" s="983"/>
      <c r="AI2062" s="983"/>
      <c r="AJ2062" s="968"/>
      <c r="AL2062" s="937"/>
    </row>
    <row r="2063" spans="2:38" s="930" customFormat="1" ht="20.25" customHeight="1" x14ac:dyDescent="0.2">
      <c r="B2063" s="936"/>
      <c r="C2063" s="936"/>
      <c r="D2063" s="936"/>
      <c r="E2063" s="936"/>
      <c r="AH2063" s="983"/>
      <c r="AI2063" s="983"/>
      <c r="AJ2063" s="968"/>
      <c r="AL2063" s="937"/>
    </row>
    <row r="2064" spans="2:38" s="930" customFormat="1" ht="20.25" customHeight="1" x14ac:dyDescent="0.2">
      <c r="B2064" s="936"/>
      <c r="C2064" s="936"/>
      <c r="D2064" s="936"/>
      <c r="E2064" s="936"/>
      <c r="AH2064" s="983"/>
      <c r="AI2064" s="983"/>
      <c r="AJ2064" s="968"/>
      <c r="AL2064" s="937"/>
    </row>
    <row r="2065" spans="2:38" s="930" customFormat="1" ht="20.25" customHeight="1" x14ac:dyDescent="0.2">
      <c r="B2065" s="936"/>
      <c r="C2065" s="936"/>
      <c r="D2065" s="936"/>
      <c r="E2065" s="936"/>
      <c r="AH2065" s="983"/>
      <c r="AI2065" s="983"/>
      <c r="AJ2065" s="968"/>
      <c r="AL2065" s="937"/>
    </row>
    <row r="2066" spans="2:38" s="930" customFormat="1" ht="20.25" customHeight="1" x14ac:dyDescent="0.2">
      <c r="B2066" s="936"/>
      <c r="C2066" s="936"/>
      <c r="D2066" s="936"/>
      <c r="E2066" s="936"/>
      <c r="AH2066" s="983"/>
      <c r="AI2066" s="983"/>
      <c r="AJ2066" s="968"/>
      <c r="AL2066" s="937"/>
    </row>
    <row r="2067" spans="2:38" s="930" customFormat="1" ht="20.25" customHeight="1" x14ac:dyDescent="0.2">
      <c r="B2067" s="936"/>
      <c r="C2067" s="936"/>
      <c r="D2067" s="936"/>
      <c r="E2067" s="936"/>
      <c r="AH2067" s="983"/>
      <c r="AI2067" s="983"/>
      <c r="AJ2067" s="968"/>
      <c r="AL2067" s="937"/>
    </row>
    <row r="2068" spans="2:38" s="930" customFormat="1" ht="20.25" customHeight="1" x14ac:dyDescent="0.2">
      <c r="B2068" s="936"/>
      <c r="C2068" s="936"/>
      <c r="D2068" s="936"/>
      <c r="E2068" s="936"/>
      <c r="AH2068" s="983"/>
      <c r="AI2068" s="983"/>
      <c r="AJ2068" s="968"/>
      <c r="AL2068" s="937"/>
    </row>
    <row r="2069" spans="2:38" s="930" customFormat="1" ht="20.25" customHeight="1" x14ac:dyDescent="0.2">
      <c r="B2069" s="936"/>
      <c r="C2069" s="936"/>
      <c r="D2069" s="936"/>
      <c r="E2069" s="936"/>
      <c r="AH2069" s="983"/>
      <c r="AI2069" s="983"/>
      <c r="AJ2069" s="968"/>
      <c r="AL2069" s="937"/>
    </row>
    <row r="2070" spans="2:38" s="930" customFormat="1" ht="20.25" customHeight="1" x14ac:dyDescent="0.2">
      <c r="B2070" s="936"/>
      <c r="C2070" s="936"/>
      <c r="D2070" s="936"/>
      <c r="E2070" s="936"/>
      <c r="AH2070" s="983"/>
      <c r="AI2070" s="983"/>
      <c r="AJ2070" s="968"/>
      <c r="AL2070" s="937"/>
    </row>
    <row r="2071" spans="2:38" s="930" customFormat="1" ht="20.25" customHeight="1" x14ac:dyDescent="0.2">
      <c r="B2071" s="936"/>
      <c r="C2071" s="936"/>
      <c r="D2071" s="936"/>
      <c r="E2071" s="936"/>
      <c r="AH2071" s="983"/>
      <c r="AI2071" s="983"/>
      <c r="AJ2071" s="968"/>
      <c r="AL2071" s="937"/>
    </row>
    <row r="2072" spans="2:38" s="930" customFormat="1" ht="20.25" customHeight="1" x14ac:dyDescent="0.2">
      <c r="B2072" s="936"/>
      <c r="C2072" s="936"/>
      <c r="D2072" s="936"/>
      <c r="E2072" s="936"/>
      <c r="AH2072" s="983"/>
      <c r="AI2072" s="983"/>
      <c r="AJ2072" s="968"/>
      <c r="AL2072" s="937"/>
    </row>
    <row r="2073" spans="2:38" s="930" customFormat="1" ht="20.25" customHeight="1" x14ac:dyDescent="0.2">
      <c r="B2073" s="936"/>
      <c r="C2073" s="936"/>
      <c r="D2073" s="936"/>
      <c r="E2073" s="936"/>
      <c r="AH2073" s="983"/>
      <c r="AI2073" s="983"/>
      <c r="AJ2073" s="968"/>
      <c r="AL2073" s="937"/>
    </row>
    <row r="2074" spans="2:38" s="930" customFormat="1" ht="20.25" customHeight="1" x14ac:dyDescent="0.2">
      <c r="B2074" s="936"/>
      <c r="C2074" s="936"/>
      <c r="D2074" s="936"/>
      <c r="E2074" s="936"/>
      <c r="AH2074" s="983"/>
      <c r="AI2074" s="983"/>
      <c r="AJ2074" s="968"/>
      <c r="AL2074" s="937"/>
    </row>
    <row r="2075" spans="2:38" s="930" customFormat="1" ht="20.25" customHeight="1" x14ac:dyDescent="0.2">
      <c r="B2075" s="936"/>
      <c r="C2075" s="936"/>
      <c r="D2075" s="936"/>
      <c r="E2075" s="936"/>
      <c r="AH2075" s="983"/>
      <c r="AI2075" s="983"/>
      <c r="AJ2075" s="968"/>
      <c r="AL2075" s="937"/>
    </row>
    <row r="2076" spans="2:38" s="930" customFormat="1" ht="20.25" customHeight="1" x14ac:dyDescent="0.2">
      <c r="B2076" s="936"/>
      <c r="C2076" s="936"/>
      <c r="D2076" s="936"/>
      <c r="E2076" s="936"/>
      <c r="AH2076" s="983"/>
      <c r="AI2076" s="983"/>
      <c r="AJ2076" s="968"/>
      <c r="AL2076" s="937"/>
    </row>
    <row r="2077" spans="2:38" s="930" customFormat="1" ht="20.25" customHeight="1" x14ac:dyDescent="0.2">
      <c r="B2077" s="936"/>
      <c r="C2077" s="936"/>
      <c r="D2077" s="936"/>
      <c r="E2077" s="936"/>
      <c r="AH2077" s="983"/>
      <c r="AI2077" s="983"/>
      <c r="AJ2077" s="968"/>
      <c r="AL2077" s="937"/>
    </row>
    <row r="2078" spans="2:38" s="930" customFormat="1" ht="20.25" customHeight="1" x14ac:dyDescent="0.2">
      <c r="B2078" s="936"/>
      <c r="C2078" s="936"/>
      <c r="D2078" s="936"/>
      <c r="E2078" s="936"/>
      <c r="AH2078" s="983"/>
      <c r="AI2078" s="983"/>
      <c r="AJ2078" s="968"/>
      <c r="AL2078" s="937"/>
    </row>
    <row r="2079" spans="2:38" s="930" customFormat="1" ht="20.25" customHeight="1" x14ac:dyDescent="0.2">
      <c r="B2079" s="936"/>
      <c r="C2079" s="936"/>
      <c r="D2079" s="936"/>
      <c r="E2079" s="936"/>
      <c r="AH2079" s="983"/>
      <c r="AI2079" s="983"/>
      <c r="AJ2079" s="968"/>
      <c r="AL2079" s="937"/>
    </row>
    <row r="2080" spans="2:38" s="930" customFormat="1" ht="20.25" customHeight="1" x14ac:dyDescent="0.2">
      <c r="B2080" s="936"/>
      <c r="C2080" s="936"/>
      <c r="D2080" s="936"/>
      <c r="E2080" s="936"/>
      <c r="AH2080" s="983"/>
      <c r="AI2080" s="983"/>
      <c r="AJ2080" s="968"/>
      <c r="AL2080" s="937"/>
    </row>
    <row r="2081" spans="2:38" s="930" customFormat="1" ht="20.25" customHeight="1" x14ac:dyDescent="0.2">
      <c r="B2081" s="936"/>
      <c r="C2081" s="936"/>
      <c r="D2081" s="936"/>
      <c r="E2081" s="936"/>
      <c r="AH2081" s="983"/>
      <c r="AI2081" s="983"/>
      <c r="AJ2081" s="968"/>
      <c r="AL2081" s="937"/>
    </row>
    <row r="2082" spans="2:38" s="930" customFormat="1" ht="20.25" customHeight="1" x14ac:dyDescent="0.2">
      <c r="B2082" s="936"/>
      <c r="C2082" s="936"/>
      <c r="D2082" s="936"/>
      <c r="E2082" s="936"/>
      <c r="AH2082" s="983"/>
      <c r="AI2082" s="983"/>
      <c r="AJ2082" s="968"/>
      <c r="AL2082" s="937"/>
    </row>
    <row r="2083" spans="2:38" s="930" customFormat="1" ht="20.25" customHeight="1" x14ac:dyDescent="0.2">
      <c r="B2083" s="936"/>
      <c r="C2083" s="936"/>
      <c r="D2083" s="936"/>
      <c r="E2083" s="936"/>
      <c r="AH2083" s="983"/>
      <c r="AI2083" s="983"/>
      <c r="AJ2083" s="968"/>
      <c r="AL2083" s="937"/>
    </row>
    <row r="2084" spans="2:38" s="930" customFormat="1" ht="20.25" customHeight="1" x14ac:dyDescent="0.2">
      <c r="B2084" s="936"/>
      <c r="C2084" s="936"/>
      <c r="D2084" s="936"/>
      <c r="E2084" s="936"/>
      <c r="AH2084" s="983"/>
      <c r="AI2084" s="983"/>
      <c r="AJ2084" s="968"/>
      <c r="AL2084" s="937"/>
    </row>
    <row r="2085" spans="2:38" s="930" customFormat="1" ht="20.25" customHeight="1" x14ac:dyDescent="0.2">
      <c r="B2085" s="936"/>
      <c r="C2085" s="936"/>
      <c r="D2085" s="936"/>
      <c r="E2085" s="936"/>
      <c r="AH2085" s="983"/>
      <c r="AI2085" s="983"/>
      <c r="AJ2085" s="968"/>
      <c r="AL2085" s="937"/>
    </row>
    <row r="2086" spans="2:38" s="930" customFormat="1" ht="20.25" customHeight="1" x14ac:dyDescent="0.2">
      <c r="B2086" s="936"/>
      <c r="C2086" s="936"/>
      <c r="D2086" s="936"/>
      <c r="E2086" s="936"/>
      <c r="AH2086" s="983"/>
      <c r="AI2086" s="983"/>
      <c r="AJ2086" s="968"/>
      <c r="AL2086" s="937"/>
    </row>
    <row r="2087" spans="2:38" s="930" customFormat="1" ht="20.25" customHeight="1" x14ac:dyDescent="0.2">
      <c r="B2087" s="936"/>
      <c r="C2087" s="936"/>
      <c r="D2087" s="936"/>
      <c r="E2087" s="936"/>
      <c r="AH2087" s="983"/>
      <c r="AI2087" s="983"/>
      <c r="AJ2087" s="968"/>
      <c r="AL2087" s="937"/>
    </row>
    <row r="2088" spans="2:38" s="930" customFormat="1" ht="20.25" customHeight="1" x14ac:dyDescent="0.2">
      <c r="B2088" s="936"/>
      <c r="C2088" s="936"/>
      <c r="D2088" s="936"/>
      <c r="E2088" s="936"/>
      <c r="AH2088" s="983"/>
      <c r="AI2088" s="983"/>
      <c r="AJ2088" s="968"/>
      <c r="AL2088" s="937"/>
    </row>
    <row r="2089" spans="2:38" s="930" customFormat="1" ht="20.25" customHeight="1" x14ac:dyDescent="0.2">
      <c r="B2089" s="936"/>
      <c r="C2089" s="936"/>
      <c r="D2089" s="936"/>
      <c r="E2089" s="936"/>
      <c r="AH2089" s="983"/>
      <c r="AI2089" s="983"/>
      <c r="AJ2089" s="968"/>
      <c r="AL2089" s="937"/>
    </row>
    <row r="2090" spans="2:38" s="930" customFormat="1" ht="20.25" customHeight="1" x14ac:dyDescent="0.2">
      <c r="B2090" s="936"/>
      <c r="C2090" s="936"/>
      <c r="D2090" s="936"/>
      <c r="E2090" s="936"/>
      <c r="AH2090" s="983"/>
      <c r="AI2090" s="983"/>
      <c r="AJ2090" s="968"/>
      <c r="AL2090" s="937"/>
    </row>
    <row r="2091" spans="2:38" s="930" customFormat="1" ht="20.25" customHeight="1" x14ac:dyDescent="0.2">
      <c r="B2091" s="936"/>
      <c r="C2091" s="936"/>
      <c r="D2091" s="936"/>
      <c r="E2091" s="936"/>
      <c r="AH2091" s="983"/>
      <c r="AI2091" s="983"/>
      <c r="AJ2091" s="968"/>
      <c r="AL2091" s="937"/>
    </row>
    <row r="2092" spans="2:38" s="930" customFormat="1" ht="20.25" customHeight="1" x14ac:dyDescent="0.2">
      <c r="B2092" s="936"/>
      <c r="C2092" s="936"/>
      <c r="D2092" s="936"/>
      <c r="E2092" s="936"/>
      <c r="AH2092" s="983"/>
      <c r="AI2092" s="983"/>
      <c r="AJ2092" s="968"/>
      <c r="AL2092" s="937"/>
    </row>
    <row r="2093" spans="2:38" s="930" customFormat="1" ht="20.25" customHeight="1" x14ac:dyDescent="0.2">
      <c r="B2093" s="936"/>
      <c r="C2093" s="936"/>
      <c r="D2093" s="936"/>
      <c r="E2093" s="936"/>
      <c r="AH2093" s="983"/>
      <c r="AI2093" s="983"/>
      <c r="AJ2093" s="968"/>
      <c r="AL2093" s="937"/>
    </row>
    <row r="2094" spans="2:38" s="930" customFormat="1" ht="20.25" customHeight="1" x14ac:dyDescent="0.2">
      <c r="B2094" s="936"/>
      <c r="C2094" s="936"/>
      <c r="D2094" s="936"/>
      <c r="E2094" s="936"/>
      <c r="AH2094" s="983"/>
      <c r="AI2094" s="983"/>
      <c r="AJ2094" s="968"/>
      <c r="AL2094" s="937"/>
    </row>
    <row r="2095" spans="2:38" s="930" customFormat="1" ht="20.25" customHeight="1" x14ac:dyDescent="0.2">
      <c r="B2095" s="936"/>
      <c r="C2095" s="936"/>
      <c r="D2095" s="936"/>
      <c r="E2095" s="936"/>
      <c r="AH2095" s="983"/>
      <c r="AI2095" s="983"/>
      <c r="AJ2095" s="968"/>
      <c r="AL2095" s="937"/>
    </row>
    <row r="2096" spans="2:38" s="930" customFormat="1" ht="20.25" customHeight="1" x14ac:dyDescent="0.2">
      <c r="B2096" s="936"/>
      <c r="C2096" s="936"/>
      <c r="D2096" s="936"/>
      <c r="E2096" s="936"/>
      <c r="AH2096" s="983"/>
      <c r="AI2096" s="983"/>
      <c r="AJ2096" s="968"/>
      <c r="AL2096" s="937"/>
    </row>
    <row r="2097" spans="2:38" s="930" customFormat="1" ht="20.25" customHeight="1" x14ac:dyDescent="0.2">
      <c r="B2097" s="936"/>
      <c r="C2097" s="936"/>
      <c r="D2097" s="936"/>
      <c r="E2097" s="936"/>
      <c r="AH2097" s="983"/>
      <c r="AI2097" s="983"/>
      <c r="AJ2097" s="968"/>
      <c r="AL2097" s="937"/>
    </row>
    <row r="2098" spans="2:38" s="930" customFormat="1" ht="20.25" customHeight="1" x14ac:dyDescent="0.2">
      <c r="B2098" s="936"/>
      <c r="C2098" s="936"/>
      <c r="D2098" s="936"/>
      <c r="E2098" s="936"/>
      <c r="AH2098" s="983"/>
      <c r="AI2098" s="983"/>
      <c r="AJ2098" s="968"/>
      <c r="AL2098" s="937"/>
    </row>
    <row r="2099" spans="2:38" s="930" customFormat="1" ht="20.25" customHeight="1" x14ac:dyDescent="0.2">
      <c r="B2099" s="936"/>
      <c r="C2099" s="936"/>
      <c r="D2099" s="936"/>
      <c r="E2099" s="936"/>
      <c r="AH2099" s="983"/>
      <c r="AI2099" s="983"/>
      <c r="AJ2099" s="968"/>
      <c r="AL2099" s="937"/>
    </row>
    <row r="2100" spans="2:38" s="930" customFormat="1" ht="20.25" customHeight="1" x14ac:dyDescent="0.2">
      <c r="B2100" s="936"/>
      <c r="C2100" s="936"/>
      <c r="D2100" s="936"/>
      <c r="E2100" s="936"/>
      <c r="AH2100" s="983"/>
      <c r="AI2100" s="983"/>
      <c r="AJ2100" s="968"/>
      <c r="AL2100" s="937"/>
    </row>
    <row r="2101" spans="2:38" s="930" customFormat="1" ht="20.25" customHeight="1" x14ac:dyDescent="0.2">
      <c r="B2101" s="936"/>
      <c r="C2101" s="936"/>
      <c r="D2101" s="936"/>
      <c r="E2101" s="936"/>
      <c r="AH2101" s="983"/>
      <c r="AI2101" s="983"/>
      <c r="AJ2101" s="968"/>
      <c r="AL2101" s="937"/>
    </row>
    <row r="2102" spans="2:38" s="930" customFormat="1" ht="20.25" customHeight="1" x14ac:dyDescent="0.2">
      <c r="B2102" s="936"/>
      <c r="C2102" s="936"/>
      <c r="D2102" s="936"/>
      <c r="E2102" s="936"/>
      <c r="AH2102" s="983"/>
      <c r="AI2102" s="983"/>
      <c r="AJ2102" s="968"/>
      <c r="AL2102" s="937"/>
    </row>
    <row r="2103" spans="2:38" s="930" customFormat="1" ht="20.25" customHeight="1" x14ac:dyDescent="0.2">
      <c r="B2103" s="936"/>
      <c r="C2103" s="936"/>
      <c r="D2103" s="936"/>
      <c r="E2103" s="936"/>
      <c r="AH2103" s="983"/>
      <c r="AI2103" s="983"/>
      <c r="AJ2103" s="968"/>
      <c r="AL2103" s="937"/>
    </row>
    <row r="2104" spans="2:38" s="930" customFormat="1" ht="20.25" customHeight="1" x14ac:dyDescent="0.2">
      <c r="B2104" s="936"/>
      <c r="C2104" s="936"/>
      <c r="D2104" s="936"/>
      <c r="E2104" s="936"/>
      <c r="AH2104" s="983"/>
      <c r="AI2104" s="983"/>
      <c r="AJ2104" s="968"/>
      <c r="AL2104" s="937"/>
    </row>
    <row r="2105" spans="2:38" s="930" customFormat="1" ht="20.25" customHeight="1" x14ac:dyDescent="0.2">
      <c r="B2105" s="936"/>
      <c r="C2105" s="936"/>
      <c r="D2105" s="936"/>
      <c r="E2105" s="936"/>
      <c r="AH2105" s="983"/>
      <c r="AI2105" s="983"/>
      <c r="AJ2105" s="968"/>
      <c r="AL2105" s="937"/>
    </row>
    <row r="2106" spans="2:38" s="930" customFormat="1" ht="20.25" customHeight="1" x14ac:dyDescent="0.2">
      <c r="B2106" s="936"/>
      <c r="C2106" s="936"/>
      <c r="D2106" s="936"/>
      <c r="E2106" s="936"/>
      <c r="AH2106" s="983"/>
      <c r="AI2106" s="983"/>
      <c r="AJ2106" s="968"/>
      <c r="AL2106" s="937"/>
    </row>
    <row r="2107" spans="2:38" s="930" customFormat="1" ht="20.25" customHeight="1" x14ac:dyDescent="0.2">
      <c r="B2107" s="936"/>
      <c r="C2107" s="936"/>
      <c r="D2107" s="936"/>
      <c r="E2107" s="936"/>
      <c r="AH2107" s="983"/>
      <c r="AI2107" s="983"/>
      <c r="AJ2107" s="968"/>
      <c r="AL2107" s="937"/>
    </row>
    <row r="2108" spans="2:38" s="930" customFormat="1" ht="20.25" customHeight="1" x14ac:dyDescent="0.2">
      <c r="B2108" s="936"/>
      <c r="C2108" s="936"/>
      <c r="D2108" s="936"/>
      <c r="E2108" s="936"/>
      <c r="AH2108" s="983"/>
      <c r="AI2108" s="983"/>
      <c r="AJ2108" s="968"/>
      <c r="AL2108" s="937"/>
    </row>
    <row r="2109" spans="2:38" s="930" customFormat="1" ht="20.25" customHeight="1" x14ac:dyDescent="0.2">
      <c r="B2109" s="936"/>
      <c r="C2109" s="936"/>
      <c r="D2109" s="936"/>
      <c r="E2109" s="936"/>
      <c r="AH2109" s="983"/>
      <c r="AI2109" s="983"/>
      <c r="AJ2109" s="968"/>
      <c r="AL2109" s="937"/>
    </row>
    <row r="2110" spans="2:38" s="930" customFormat="1" ht="20.25" customHeight="1" x14ac:dyDescent="0.2">
      <c r="B2110" s="936"/>
      <c r="C2110" s="936"/>
      <c r="D2110" s="936"/>
      <c r="E2110" s="936"/>
      <c r="AH2110" s="983"/>
      <c r="AI2110" s="983"/>
      <c r="AJ2110" s="968"/>
      <c r="AL2110" s="937"/>
    </row>
    <row r="2111" spans="2:38" s="930" customFormat="1" ht="20.25" customHeight="1" x14ac:dyDescent="0.2">
      <c r="B2111" s="936"/>
      <c r="C2111" s="936"/>
      <c r="D2111" s="936"/>
      <c r="E2111" s="936"/>
      <c r="AH2111" s="983"/>
      <c r="AI2111" s="983"/>
      <c r="AJ2111" s="968"/>
      <c r="AL2111" s="937"/>
    </row>
    <row r="2112" spans="2:38" s="930" customFormat="1" ht="20.25" customHeight="1" x14ac:dyDescent="0.2">
      <c r="B2112" s="936"/>
      <c r="C2112" s="936"/>
      <c r="D2112" s="936"/>
      <c r="E2112" s="936"/>
      <c r="AH2112" s="983"/>
      <c r="AI2112" s="983"/>
      <c r="AJ2112" s="968"/>
      <c r="AL2112" s="937"/>
    </row>
    <row r="2113" spans="2:38" s="930" customFormat="1" ht="20.25" customHeight="1" x14ac:dyDescent="0.2">
      <c r="B2113" s="936"/>
      <c r="C2113" s="936"/>
      <c r="D2113" s="936"/>
      <c r="E2113" s="936"/>
      <c r="AH2113" s="983"/>
      <c r="AI2113" s="983"/>
      <c r="AJ2113" s="968"/>
      <c r="AL2113" s="937"/>
    </row>
    <row r="2114" spans="2:38" s="930" customFormat="1" ht="20.25" customHeight="1" x14ac:dyDescent="0.2">
      <c r="B2114" s="936"/>
      <c r="C2114" s="936"/>
      <c r="D2114" s="936"/>
      <c r="E2114" s="936"/>
      <c r="AH2114" s="983"/>
      <c r="AI2114" s="983"/>
      <c r="AJ2114" s="968"/>
      <c r="AL2114" s="937"/>
    </row>
    <row r="2115" spans="2:38" s="930" customFormat="1" ht="20.25" customHeight="1" x14ac:dyDescent="0.2">
      <c r="B2115" s="936"/>
      <c r="C2115" s="936"/>
      <c r="D2115" s="936"/>
      <c r="E2115" s="936"/>
      <c r="AH2115" s="983"/>
      <c r="AI2115" s="983"/>
      <c r="AJ2115" s="968"/>
      <c r="AL2115" s="937"/>
    </row>
    <row r="2116" spans="2:38" s="930" customFormat="1" ht="20.25" customHeight="1" x14ac:dyDescent="0.2">
      <c r="B2116" s="936"/>
      <c r="C2116" s="936"/>
      <c r="D2116" s="936"/>
      <c r="E2116" s="936"/>
      <c r="AH2116" s="983"/>
      <c r="AI2116" s="983"/>
      <c r="AJ2116" s="968"/>
      <c r="AL2116" s="937"/>
    </row>
    <row r="2117" spans="2:38" s="930" customFormat="1" ht="20.25" customHeight="1" x14ac:dyDescent="0.2">
      <c r="B2117" s="936"/>
      <c r="C2117" s="936"/>
      <c r="D2117" s="936"/>
      <c r="E2117" s="936"/>
      <c r="AH2117" s="983"/>
      <c r="AI2117" s="983"/>
      <c r="AJ2117" s="968"/>
      <c r="AL2117" s="937"/>
    </row>
    <row r="2118" spans="2:38" s="930" customFormat="1" ht="20.25" customHeight="1" x14ac:dyDescent="0.2">
      <c r="B2118" s="936"/>
      <c r="C2118" s="936"/>
      <c r="D2118" s="936"/>
      <c r="E2118" s="936"/>
      <c r="AH2118" s="983"/>
      <c r="AI2118" s="983"/>
      <c r="AJ2118" s="968"/>
      <c r="AL2118" s="937"/>
    </row>
    <row r="2119" spans="2:38" s="930" customFormat="1" ht="20.25" customHeight="1" x14ac:dyDescent="0.2">
      <c r="B2119" s="936"/>
      <c r="C2119" s="936"/>
      <c r="D2119" s="936"/>
      <c r="E2119" s="936"/>
      <c r="AH2119" s="983"/>
      <c r="AI2119" s="983"/>
      <c r="AJ2119" s="968"/>
      <c r="AL2119" s="937"/>
    </row>
    <row r="2120" spans="2:38" s="930" customFormat="1" ht="20.25" customHeight="1" x14ac:dyDescent="0.2">
      <c r="B2120" s="936"/>
      <c r="C2120" s="936"/>
      <c r="D2120" s="936"/>
      <c r="E2120" s="936"/>
      <c r="AH2120" s="983"/>
      <c r="AI2120" s="983"/>
      <c r="AJ2120" s="968"/>
      <c r="AL2120" s="937"/>
    </row>
    <row r="2121" spans="2:38" s="930" customFormat="1" ht="20.25" customHeight="1" x14ac:dyDescent="0.2">
      <c r="B2121" s="936"/>
      <c r="C2121" s="936"/>
      <c r="D2121" s="936"/>
      <c r="E2121" s="936"/>
      <c r="AH2121" s="983"/>
      <c r="AI2121" s="983"/>
      <c r="AJ2121" s="968"/>
      <c r="AL2121" s="937"/>
    </row>
    <row r="2122" spans="2:38" s="930" customFormat="1" ht="20.25" customHeight="1" x14ac:dyDescent="0.2">
      <c r="B2122" s="936"/>
      <c r="C2122" s="936"/>
      <c r="D2122" s="936"/>
      <c r="E2122" s="936"/>
      <c r="AH2122" s="983"/>
      <c r="AI2122" s="983"/>
      <c r="AJ2122" s="968"/>
      <c r="AL2122" s="937"/>
    </row>
    <row r="2123" spans="2:38" s="930" customFormat="1" ht="20.25" customHeight="1" x14ac:dyDescent="0.2">
      <c r="B2123" s="936"/>
      <c r="C2123" s="936"/>
      <c r="D2123" s="936"/>
      <c r="E2123" s="936"/>
      <c r="AH2123" s="983"/>
      <c r="AI2123" s="983"/>
      <c r="AJ2123" s="968"/>
      <c r="AL2123" s="937"/>
    </row>
    <row r="2124" spans="2:38" s="930" customFormat="1" ht="20.25" customHeight="1" x14ac:dyDescent="0.2">
      <c r="B2124" s="936"/>
      <c r="C2124" s="936"/>
      <c r="D2124" s="936"/>
      <c r="E2124" s="936"/>
      <c r="AH2124" s="983"/>
      <c r="AI2124" s="983"/>
      <c r="AJ2124" s="968"/>
      <c r="AL2124" s="937"/>
    </row>
    <row r="2125" spans="2:38" s="930" customFormat="1" ht="20.25" customHeight="1" x14ac:dyDescent="0.2">
      <c r="B2125" s="936"/>
      <c r="C2125" s="936"/>
      <c r="D2125" s="936"/>
      <c r="E2125" s="936"/>
      <c r="AH2125" s="983"/>
      <c r="AI2125" s="983"/>
      <c r="AJ2125" s="968"/>
      <c r="AL2125" s="937"/>
    </row>
    <row r="2126" spans="2:38" s="930" customFormat="1" ht="20.25" customHeight="1" x14ac:dyDescent="0.2">
      <c r="B2126" s="936"/>
      <c r="C2126" s="936"/>
      <c r="D2126" s="936"/>
      <c r="E2126" s="936"/>
      <c r="AH2126" s="983"/>
      <c r="AI2126" s="983"/>
      <c r="AJ2126" s="968"/>
      <c r="AL2126" s="937"/>
    </row>
    <row r="2127" spans="2:38" s="930" customFormat="1" ht="20.25" customHeight="1" x14ac:dyDescent="0.2">
      <c r="B2127" s="936"/>
      <c r="C2127" s="936"/>
      <c r="D2127" s="936"/>
      <c r="E2127" s="936"/>
      <c r="AH2127" s="983"/>
      <c r="AI2127" s="983"/>
      <c r="AJ2127" s="968"/>
      <c r="AL2127" s="937"/>
    </row>
    <row r="2128" spans="2:38" s="930" customFormat="1" ht="20.25" customHeight="1" x14ac:dyDescent="0.2">
      <c r="B2128" s="936"/>
      <c r="C2128" s="936"/>
      <c r="D2128" s="936"/>
      <c r="E2128" s="936"/>
      <c r="AH2128" s="983"/>
      <c r="AI2128" s="983"/>
      <c r="AJ2128" s="968"/>
      <c r="AL2128" s="937"/>
    </row>
    <row r="2129" spans="2:38" s="930" customFormat="1" ht="20.25" customHeight="1" x14ac:dyDescent="0.2">
      <c r="B2129" s="936"/>
      <c r="C2129" s="936"/>
      <c r="D2129" s="936"/>
      <c r="E2129" s="936"/>
      <c r="AH2129" s="983"/>
      <c r="AI2129" s="983"/>
      <c r="AJ2129" s="968"/>
      <c r="AL2129" s="937"/>
    </row>
    <row r="2130" spans="2:38" s="930" customFormat="1" ht="20.25" customHeight="1" x14ac:dyDescent="0.2">
      <c r="B2130" s="936"/>
      <c r="C2130" s="936"/>
      <c r="D2130" s="936"/>
      <c r="E2130" s="936"/>
      <c r="AH2130" s="983"/>
      <c r="AI2130" s="983"/>
      <c r="AJ2130" s="968"/>
      <c r="AL2130" s="937"/>
    </row>
    <row r="2131" spans="2:38" s="930" customFormat="1" ht="20.25" customHeight="1" x14ac:dyDescent="0.2">
      <c r="B2131" s="936"/>
      <c r="C2131" s="936"/>
      <c r="D2131" s="936"/>
      <c r="E2131" s="936"/>
      <c r="AH2131" s="983"/>
      <c r="AI2131" s="983"/>
      <c r="AJ2131" s="968"/>
      <c r="AL2131" s="937"/>
    </row>
    <row r="2132" spans="2:38" s="930" customFormat="1" ht="20.25" customHeight="1" x14ac:dyDescent="0.2">
      <c r="B2132" s="936"/>
      <c r="C2132" s="936"/>
      <c r="D2132" s="936"/>
      <c r="E2132" s="936"/>
      <c r="AH2132" s="983"/>
      <c r="AI2132" s="983"/>
      <c r="AJ2132" s="968"/>
      <c r="AL2132" s="937"/>
    </row>
    <row r="2133" spans="2:38" s="930" customFormat="1" ht="20.25" customHeight="1" x14ac:dyDescent="0.2">
      <c r="B2133" s="936"/>
      <c r="C2133" s="936"/>
      <c r="D2133" s="936"/>
      <c r="E2133" s="936"/>
      <c r="AH2133" s="983"/>
      <c r="AI2133" s="983"/>
      <c r="AJ2133" s="968"/>
      <c r="AL2133" s="937"/>
    </row>
    <row r="2134" spans="2:38" s="930" customFormat="1" ht="20.25" customHeight="1" x14ac:dyDescent="0.2">
      <c r="B2134" s="936"/>
      <c r="C2134" s="936"/>
      <c r="D2134" s="936"/>
      <c r="E2134" s="936"/>
      <c r="AH2134" s="983"/>
      <c r="AI2134" s="983"/>
      <c r="AJ2134" s="968"/>
      <c r="AL2134" s="937"/>
    </row>
    <row r="2135" spans="2:38" s="930" customFormat="1" ht="20.25" customHeight="1" x14ac:dyDescent="0.2">
      <c r="B2135" s="936"/>
      <c r="C2135" s="936"/>
      <c r="D2135" s="936"/>
      <c r="E2135" s="936"/>
      <c r="AH2135" s="983"/>
      <c r="AI2135" s="983"/>
      <c r="AJ2135" s="968"/>
      <c r="AL2135" s="937"/>
    </row>
    <row r="2136" spans="2:38" s="930" customFormat="1" ht="20.25" customHeight="1" x14ac:dyDescent="0.2">
      <c r="B2136" s="936"/>
      <c r="C2136" s="936"/>
      <c r="D2136" s="936"/>
      <c r="E2136" s="936"/>
      <c r="AH2136" s="983"/>
      <c r="AI2136" s="983"/>
      <c r="AJ2136" s="968"/>
      <c r="AL2136" s="937"/>
    </row>
    <row r="2137" spans="2:38" s="930" customFormat="1" ht="20.25" customHeight="1" x14ac:dyDescent="0.2">
      <c r="B2137" s="936"/>
      <c r="C2137" s="936"/>
      <c r="D2137" s="936"/>
      <c r="E2137" s="936"/>
      <c r="AH2137" s="983"/>
      <c r="AI2137" s="983"/>
      <c r="AJ2137" s="968"/>
      <c r="AL2137" s="937"/>
    </row>
    <row r="2138" spans="2:38" s="930" customFormat="1" ht="20.25" customHeight="1" x14ac:dyDescent="0.2">
      <c r="B2138" s="936"/>
      <c r="C2138" s="936"/>
      <c r="D2138" s="936"/>
      <c r="E2138" s="936"/>
      <c r="AH2138" s="983"/>
      <c r="AI2138" s="983"/>
      <c r="AJ2138" s="968"/>
      <c r="AL2138" s="937"/>
    </row>
    <row r="2139" spans="2:38" s="930" customFormat="1" ht="20.25" customHeight="1" x14ac:dyDescent="0.2">
      <c r="B2139" s="936"/>
      <c r="C2139" s="936"/>
      <c r="D2139" s="936"/>
      <c r="E2139" s="936"/>
      <c r="AH2139" s="983"/>
      <c r="AI2139" s="983"/>
      <c r="AJ2139" s="968"/>
      <c r="AL2139" s="937"/>
    </row>
    <row r="2140" spans="2:38" s="930" customFormat="1" ht="20.25" customHeight="1" x14ac:dyDescent="0.2">
      <c r="B2140" s="936"/>
      <c r="C2140" s="936"/>
      <c r="D2140" s="936"/>
      <c r="E2140" s="936"/>
      <c r="AH2140" s="983"/>
      <c r="AI2140" s="983"/>
      <c r="AJ2140" s="968"/>
      <c r="AL2140" s="937"/>
    </row>
    <row r="2141" spans="2:38" s="930" customFormat="1" ht="20.25" customHeight="1" x14ac:dyDescent="0.2">
      <c r="B2141" s="936"/>
      <c r="C2141" s="936"/>
      <c r="D2141" s="936"/>
      <c r="E2141" s="936"/>
      <c r="AH2141" s="983"/>
      <c r="AI2141" s="983"/>
      <c r="AJ2141" s="968"/>
      <c r="AL2141" s="937"/>
    </row>
    <row r="2142" spans="2:38" s="930" customFormat="1" ht="20.25" customHeight="1" x14ac:dyDescent="0.2">
      <c r="B2142" s="936"/>
      <c r="C2142" s="936"/>
      <c r="D2142" s="936"/>
      <c r="E2142" s="936"/>
      <c r="AH2142" s="983"/>
      <c r="AI2142" s="983"/>
      <c r="AJ2142" s="968"/>
      <c r="AL2142" s="937"/>
    </row>
    <row r="2143" spans="2:38" s="930" customFormat="1" ht="20.25" customHeight="1" x14ac:dyDescent="0.2">
      <c r="B2143" s="936"/>
      <c r="C2143" s="936"/>
      <c r="D2143" s="936"/>
      <c r="E2143" s="936"/>
      <c r="AH2143" s="983"/>
      <c r="AI2143" s="983"/>
      <c r="AJ2143" s="968"/>
      <c r="AL2143" s="937"/>
    </row>
    <row r="2144" spans="2:38" s="930" customFormat="1" ht="20.25" customHeight="1" x14ac:dyDescent="0.2">
      <c r="B2144" s="936"/>
      <c r="C2144" s="936"/>
      <c r="D2144" s="936"/>
      <c r="E2144" s="936"/>
      <c r="AH2144" s="983"/>
      <c r="AI2144" s="983"/>
      <c r="AJ2144" s="968"/>
      <c r="AL2144" s="937"/>
    </row>
    <row r="2145" spans="2:38" s="930" customFormat="1" ht="20.25" customHeight="1" x14ac:dyDescent="0.2">
      <c r="B2145" s="936"/>
      <c r="C2145" s="936"/>
      <c r="D2145" s="936"/>
      <c r="E2145" s="936"/>
      <c r="AH2145" s="983"/>
      <c r="AI2145" s="983"/>
      <c r="AJ2145" s="968"/>
      <c r="AL2145" s="937"/>
    </row>
    <row r="2146" spans="2:38" s="930" customFormat="1" ht="20.25" customHeight="1" x14ac:dyDescent="0.2">
      <c r="B2146" s="936"/>
      <c r="C2146" s="936"/>
      <c r="D2146" s="936"/>
      <c r="E2146" s="936"/>
      <c r="AH2146" s="983"/>
      <c r="AI2146" s="983"/>
      <c r="AJ2146" s="968"/>
      <c r="AL2146" s="937"/>
    </row>
    <row r="2147" spans="2:38" s="930" customFormat="1" ht="20.25" customHeight="1" x14ac:dyDescent="0.2">
      <c r="B2147" s="936"/>
      <c r="C2147" s="936"/>
      <c r="D2147" s="936"/>
      <c r="E2147" s="936"/>
      <c r="AH2147" s="983"/>
      <c r="AI2147" s="983"/>
      <c r="AJ2147" s="968"/>
      <c r="AL2147" s="937"/>
    </row>
    <row r="2148" spans="2:38" s="930" customFormat="1" ht="20.25" customHeight="1" x14ac:dyDescent="0.2">
      <c r="B2148" s="936"/>
      <c r="C2148" s="936"/>
      <c r="D2148" s="936"/>
      <c r="E2148" s="936"/>
      <c r="AH2148" s="983"/>
      <c r="AI2148" s="983"/>
      <c r="AJ2148" s="968"/>
      <c r="AL2148" s="937"/>
    </row>
    <row r="2149" spans="2:38" s="930" customFormat="1" ht="20.25" customHeight="1" x14ac:dyDescent="0.2">
      <c r="B2149" s="936"/>
      <c r="C2149" s="936"/>
      <c r="D2149" s="936"/>
      <c r="E2149" s="936"/>
      <c r="AH2149" s="983"/>
      <c r="AI2149" s="983"/>
      <c r="AJ2149" s="968"/>
      <c r="AL2149" s="937"/>
    </row>
    <row r="2150" spans="2:38" s="930" customFormat="1" ht="20.25" customHeight="1" x14ac:dyDescent="0.2">
      <c r="B2150" s="936"/>
      <c r="C2150" s="936"/>
      <c r="D2150" s="936"/>
      <c r="E2150" s="936"/>
      <c r="AH2150" s="983"/>
      <c r="AI2150" s="983"/>
      <c r="AJ2150" s="968"/>
      <c r="AL2150" s="937"/>
    </row>
    <row r="2151" spans="2:38" s="930" customFormat="1" ht="20.25" customHeight="1" x14ac:dyDescent="0.2">
      <c r="B2151" s="936"/>
      <c r="C2151" s="936"/>
      <c r="D2151" s="936"/>
      <c r="E2151" s="936"/>
      <c r="AH2151" s="983"/>
      <c r="AI2151" s="983"/>
      <c r="AJ2151" s="968"/>
      <c r="AL2151" s="937"/>
    </row>
    <row r="2152" spans="2:38" s="930" customFormat="1" ht="20.25" customHeight="1" x14ac:dyDescent="0.2">
      <c r="B2152" s="936"/>
      <c r="C2152" s="936"/>
      <c r="D2152" s="936"/>
      <c r="E2152" s="936"/>
      <c r="AH2152" s="983"/>
      <c r="AI2152" s="983"/>
      <c r="AJ2152" s="968"/>
      <c r="AL2152" s="937"/>
    </row>
    <row r="2153" spans="2:38" s="930" customFormat="1" ht="20.25" customHeight="1" x14ac:dyDescent="0.2">
      <c r="B2153" s="936"/>
      <c r="C2153" s="936"/>
      <c r="D2153" s="936"/>
      <c r="E2153" s="936"/>
      <c r="AH2153" s="983"/>
      <c r="AI2153" s="983"/>
      <c r="AJ2153" s="968"/>
      <c r="AL2153" s="937"/>
    </row>
    <row r="2154" spans="2:38" s="930" customFormat="1" ht="20.25" customHeight="1" x14ac:dyDescent="0.2">
      <c r="B2154" s="936"/>
      <c r="C2154" s="936"/>
      <c r="D2154" s="936"/>
      <c r="E2154" s="936"/>
      <c r="AH2154" s="983"/>
      <c r="AI2154" s="983"/>
      <c r="AJ2154" s="968"/>
      <c r="AL2154" s="937"/>
    </row>
    <row r="2155" spans="2:38" s="930" customFormat="1" ht="20.25" customHeight="1" x14ac:dyDescent="0.2">
      <c r="B2155" s="936"/>
      <c r="C2155" s="936"/>
      <c r="D2155" s="936"/>
      <c r="E2155" s="936"/>
      <c r="AH2155" s="983"/>
      <c r="AI2155" s="983"/>
      <c r="AJ2155" s="968"/>
      <c r="AL2155" s="937"/>
    </row>
    <row r="2156" spans="2:38" s="930" customFormat="1" ht="20.25" customHeight="1" x14ac:dyDescent="0.2">
      <c r="B2156" s="936"/>
      <c r="C2156" s="936"/>
      <c r="D2156" s="936"/>
      <c r="E2156" s="936"/>
      <c r="AH2156" s="983"/>
      <c r="AI2156" s="983"/>
      <c r="AJ2156" s="968"/>
      <c r="AL2156" s="937"/>
    </row>
    <row r="2157" spans="2:38" s="930" customFormat="1" ht="20.25" customHeight="1" x14ac:dyDescent="0.2">
      <c r="B2157" s="936"/>
      <c r="C2157" s="936"/>
      <c r="D2157" s="936"/>
      <c r="E2157" s="936"/>
      <c r="AH2157" s="983"/>
      <c r="AI2157" s="983"/>
      <c r="AJ2157" s="968"/>
      <c r="AL2157" s="937"/>
    </row>
    <row r="2158" spans="2:38" s="930" customFormat="1" ht="20.25" customHeight="1" x14ac:dyDescent="0.2">
      <c r="B2158" s="936"/>
      <c r="C2158" s="936"/>
      <c r="D2158" s="936"/>
      <c r="E2158" s="936"/>
      <c r="AH2158" s="983"/>
      <c r="AI2158" s="983"/>
      <c r="AJ2158" s="968"/>
      <c r="AL2158" s="937"/>
    </row>
    <row r="2159" spans="2:38" s="930" customFormat="1" ht="20.25" customHeight="1" x14ac:dyDescent="0.2">
      <c r="B2159" s="936"/>
      <c r="C2159" s="936"/>
      <c r="D2159" s="936"/>
      <c r="E2159" s="936"/>
      <c r="AH2159" s="983"/>
      <c r="AI2159" s="983"/>
      <c r="AJ2159" s="968"/>
      <c r="AL2159" s="937"/>
    </row>
    <row r="2160" spans="2:38" s="930" customFormat="1" ht="20.25" customHeight="1" x14ac:dyDescent="0.2">
      <c r="B2160" s="936"/>
      <c r="C2160" s="936"/>
      <c r="D2160" s="936"/>
      <c r="E2160" s="936"/>
      <c r="AH2160" s="983"/>
      <c r="AI2160" s="983"/>
      <c r="AJ2160" s="968"/>
      <c r="AL2160" s="937"/>
    </row>
    <row r="2161" spans="2:38" s="930" customFormat="1" ht="20.25" customHeight="1" x14ac:dyDescent="0.2">
      <c r="B2161" s="936"/>
      <c r="C2161" s="936"/>
      <c r="D2161" s="936"/>
      <c r="E2161" s="936"/>
      <c r="AH2161" s="983"/>
      <c r="AI2161" s="983"/>
      <c r="AJ2161" s="968"/>
      <c r="AL2161" s="937"/>
    </row>
    <row r="2162" spans="2:38" s="930" customFormat="1" ht="20.25" customHeight="1" x14ac:dyDescent="0.2">
      <c r="B2162" s="936"/>
      <c r="C2162" s="936"/>
      <c r="D2162" s="936"/>
      <c r="E2162" s="936"/>
      <c r="AH2162" s="983"/>
      <c r="AI2162" s="983"/>
      <c r="AJ2162" s="968"/>
      <c r="AL2162" s="937"/>
    </row>
    <row r="2163" spans="2:38" s="930" customFormat="1" ht="20.25" customHeight="1" x14ac:dyDescent="0.2">
      <c r="B2163" s="936"/>
      <c r="C2163" s="936"/>
      <c r="D2163" s="936"/>
      <c r="E2163" s="936"/>
      <c r="AH2163" s="983"/>
      <c r="AI2163" s="983"/>
      <c r="AJ2163" s="968"/>
      <c r="AL2163" s="937"/>
    </row>
    <row r="2164" spans="2:38" s="930" customFormat="1" ht="20.25" customHeight="1" x14ac:dyDescent="0.2">
      <c r="B2164" s="936"/>
      <c r="C2164" s="936"/>
      <c r="D2164" s="936"/>
      <c r="E2164" s="936"/>
      <c r="AH2164" s="983"/>
      <c r="AI2164" s="983"/>
      <c r="AJ2164" s="968"/>
      <c r="AL2164" s="937"/>
    </row>
    <row r="2165" spans="2:38" s="930" customFormat="1" ht="20.25" customHeight="1" x14ac:dyDescent="0.2">
      <c r="B2165" s="936"/>
      <c r="C2165" s="936"/>
      <c r="D2165" s="936"/>
      <c r="E2165" s="936"/>
      <c r="AH2165" s="983"/>
      <c r="AI2165" s="983"/>
      <c r="AJ2165" s="968"/>
      <c r="AL2165" s="937"/>
    </row>
    <row r="2166" spans="2:38" s="930" customFormat="1" ht="20.25" customHeight="1" x14ac:dyDescent="0.2">
      <c r="B2166" s="936"/>
      <c r="C2166" s="936"/>
      <c r="D2166" s="936"/>
      <c r="E2166" s="936"/>
      <c r="AH2166" s="983"/>
      <c r="AI2166" s="983"/>
      <c r="AJ2166" s="968"/>
      <c r="AL2166" s="937"/>
    </row>
    <row r="2167" spans="2:38" s="930" customFormat="1" ht="20.25" customHeight="1" x14ac:dyDescent="0.2">
      <c r="B2167" s="936"/>
      <c r="C2167" s="936"/>
      <c r="D2167" s="936"/>
      <c r="E2167" s="936"/>
      <c r="AH2167" s="983"/>
      <c r="AI2167" s="983"/>
      <c r="AJ2167" s="968"/>
      <c r="AL2167" s="937"/>
    </row>
    <row r="2168" spans="2:38" s="930" customFormat="1" ht="20.25" customHeight="1" x14ac:dyDescent="0.2">
      <c r="B2168" s="936"/>
      <c r="C2168" s="936"/>
      <c r="D2168" s="936"/>
      <c r="E2168" s="936"/>
      <c r="AH2168" s="983"/>
      <c r="AI2168" s="983"/>
      <c r="AJ2168" s="968"/>
      <c r="AL2168" s="937"/>
    </row>
    <row r="2169" spans="2:38" s="930" customFormat="1" ht="20.25" customHeight="1" x14ac:dyDescent="0.2">
      <c r="B2169" s="936"/>
      <c r="C2169" s="936"/>
      <c r="D2169" s="936"/>
      <c r="E2169" s="936"/>
      <c r="AH2169" s="983"/>
      <c r="AI2169" s="983"/>
      <c r="AJ2169" s="968"/>
      <c r="AL2169" s="937"/>
    </row>
    <row r="2170" spans="2:38" s="930" customFormat="1" ht="20.25" customHeight="1" x14ac:dyDescent="0.2">
      <c r="B2170" s="936"/>
      <c r="C2170" s="936"/>
      <c r="D2170" s="936"/>
      <c r="E2170" s="936"/>
      <c r="AH2170" s="983"/>
      <c r="AI2170" s="983"/>
      <c r="AJ2170" s="968"/>
      <c r="AL2170" s="937"/>
    </row>
    <row r="2171" spans="2:38" s="930" customFormat="1" ht="20.25" customHeight="1" x14ac:dyDescent="0.2">
      <c r="B2171" s="936"/>
      <c r="C2171" s="936"/>
      <c r="D2171" s="936"/>
      <c r="E2171" s="936"/>
      <c r="AH2171" s="983"/>
      <c r="AI2171" s="983"/>
      <c r="AJ2171" s="968"/>
      <c r="AL2171" s="937"/>
    </row>
    <row r="2172" spans="2:38" s="930" customFormat="1" ht="20.25" customHeight="1" x14ac:dyDescent="0.2">
      <c r="B2172" s="936"/>
      <c r="C2172" s="936"/>
      <c r="D2172" s="936"/>
      <c r="E2172" s="936"/>
      <c r="AH2172" s="983"/>
      <c r="AI2172" s="983"/>
      <c r="AJ2172" s="968"/>
      <c r="AL2172" s="937"/>
    </row>
    <row r="2173" spans="2:38" s="930" customFormat="1" ht="20.25" customHeight="1" x14ac:dyDescent="0.2">
      <c r="B2173" s="936"/>
      <c r="C2173" s="936"/>
      <c r="D2173" s="936"/>
      <c r="E2173" s="936"/>
      <c r="AH2173" s="983"/>
      <c r="AI2173" s="983"/>
      <c r="AJ2173" s="968"/>
      <c r="AL2173" s="937"/>
    </row>
    <row r="2174" spans="2:38" s="930" customFormat="1" ht="20.25" customHeight="1" x14ac:dyDescent="0.2">
      <c r="B2174" s="936"/>
      <c r="C2174" s="936"/>
      <c r="D2174" s="936"/>
      <c r="E2174" s="936"/>
      <c r="AH2174" s="983"/>
      <c r="AI2174" s="983"/>
      <c r="AJ2174" s="968"/>
      <c r="AL2174" s="937"/>
    </row>
    <row r="2175" spans="2:38" s="930" customFormat="1" ht="20.25" customHeight="1" x14ac:dyDescent="0.2">
      <c r="B2175" s="936"/>
      <c r="C2175" s="936"/>
      <c r="D2175" s="936"/>
      <c r="E2175" s="936"/>
      <c r="AH2175" s="983"/>
      <c r="AI2175" s="983"/>
      <c r="AJ2175" s="968"/>
      <c r="AL2175" s="937"/>
    </row>
    <row r="2176" spans="2:38" s="930" customFormat="1" ht="20.25" customHeight="1" x14ac:dyDescent="0.2">
      <c r="B2176" s="936"/>
      <c r="C2176" s="936"/>
      <c r="D2176" s="936"/>
      <c r="E2176" s="936"/>
      <c r="AH2176" s="983"/>
      <c r="AI2176" s="983"/>
      <c r="AJ2176" s="968"/>
      <c r="AL2176" s="937"/>
    </row>
    <row r="2177" spans="2:38" s="930" customFormat="1" ht="20.25" customHeight="1" x14ac:dyDescent="0.2">
      <c r="B2177" s="936"/>
      <c r="C2177" s="936"/>
      <c r="D2177" s="936"/>
      <c r="E2177" s="936"/>
      <c r="AH2177" s="983"/>
      <c r="AI2177" s="983"/>
      <c r="AJ2177" s="968"/>
      <c r="AL2177" s="937"/>
    </row>
    <row r="2178" spans="2:38" s="930" customFormat="1" ht="20.25" customHeight="1" x14ac:dyDescent="0.2">
      <c r="B2178" s="936"/>
      <c r="C2178" s="936"/>
      <c r="D2178" s="936"/>
      <c r="E2178" s="936"/>
      <c r="AH2178" s="983"/>
      <c r="AI2178" s="983"/>
      <c r="AJ2178" s="968"/>
      <c r="AL2178" s="937"/>
    </row>
    <row r="2179" spans="2:38" s="930" customFormat="1" ht="20.25" customHeight="1" x14ac:dyDescent="0.2">
      <c r="B2179" s="936"/>
      <c r="C2179" s="936"/>
      <c r="D2179" s="936"/>
      <c r="E2179" s="936"/>
      <c r="AH2179" s="983"/>
      <c r="AI2179" s="983"/>
      <c r="AJ2179" s="968"/>
      <c r="AL2179" s="937"/>
    </row>
    <row r="2180" spans="2:38" s="930" customFormat="1" ht="20.25" customHeight="1" x14ac:dyDescent="0.2">
      <c r="B2180" s="936"/>
      <c r="C2180" s="936"/>
      <c r="D2180" s="936"/>
      <c r="E2180" s="936"/>
      <c r="AH2180" s="983"/>
      <c r="AI2180" s="983"/>
      <c r="AJ2180" s="968"/>
      <c r="AL2180" s="937"/>
    </row>
    <row r="2181" spans="2:38" s="930" customFormat="1" ht="20.25" customHeight="1" x14ac:dyDescent="0.2">
      <c r="B2181" s="936"/>
      <c r="C2181" s="936"/>
      <c r="D2181" s="936"/>
      <c r="E2181" s="936"/>
      <c r="AH2181" s="983"/>
      <c r="AI2181" s="983"/>
      <c r="AJ2181" s="968"/>
      <c r="AL2181" s="937"/>
    </row>
    <row r="2182" spans="2:38" s="930" customFormat="1" ht="20.25" customHeight="1" x14ac:dyDescent="0.2">
      <c r="B2182" s="936"/>
      <c r="C2182" s="936"/>
      <c r="D2182" s="936"/>
      <c r="E2182" s="936"/>
      <c r="AH2182" s="983"/>
      <c r="AI2182" s="983"/>
      <c r="AJ2182" s="968"/>
      <c r="AL2182" s="937"/>
    </row>
    <row r="2183" spans="2:38" s="930" customFormat="1" ht="20.25" customHeight="1" x14ac:dyDescent="0.2">
      <c r="B2183" s="936"/>
      <c r="C2183" s="936"/>
      <c r="D2183" s="936"/>
      <c r="E2183" s="936"/>
      <c r="AH2183" s="983"/>
      <c r="AI2183" s="983"/>
      <c r="AJ2183" s="968"/>
      <c r="AL2183" s="937"/>
    </row>
    <row r="2184" spans="2:38" s="930" customFormat="1" ht="20.25" customHeight="1" x14ac:dyDescent="0.2">
      <c r="B2184" s="936"/>
      <c r="C2184" s="936"/>
      <c r="D2184" s="936"/>
      <c r="E2184" s="936"/>
      <c r="AH2184" s="983"/>
      <c r="AI2184" s="983"/>
      <c r="AJ2184" s="968"/>
      <c r="AL2184" s="937"/>
    </row>
    <row r="2185" spans="2:38" s="930" customFormat="1" ht="20.25" customHeight="1" x14ac:dyDescent="0.2">
      <c r="B2185" s="936"/>
      <c r="C2185" s="936"/>
      <c r="D2185" s="936"/>
      <c r="E2185" s="936"/>
      <c r="AH2185" s="983"/>
      <c r="AI2185" s="983"/>
      <c r="AJ2185" s="968"/>
      <c r="AL2185" s="937"/>
    </row>
    <row r="2186" spans="2:38" s="930" customFormat="1" ht="20.25" customHeight="1" x14ac:dyDescent="0.2">
      <c r="B2186" s="936"/>
      <c r="C2186" s="936"/>
      <c r="D2186" s="936"/>
      <c r="E2186" s="936"/>
      <c r="AH2186" s="983"/>
      <c r="AI2186" s="983"/>
      <c r="AJ2186" s="968"/>
      <c r="AL2186" s="937"/>
    </row>
    <row r="2187" spans="2:38" s="930" customFormat="1" ht="20.25" customHeight="1" x14ac:dyDescent="0.2">
      <c r="B2187" s="936"/>
      <c r="C2187" s="936"/>
      <c r="D2187" s="936"/>
      <c r="E2187" s="936"/>
      <c r="AH2187" s="983"/>
      <c r="AI2187" s="983"/>
      <c r="AJ2187" s="968"/>
      <c r="AL2187" s="937"/>
    </row>
    <row r="2188" spans="2:38" s="930" customFormat="1" ht="20.25" customHeight="1" x14ac:dyDescent="0.2">
      <c r="B2188" s="936"/>
      <c r="C2188" s="936"/>
      <c r="D2188" s="936"/>
      <c r="E2188" s="936"/>
      <c r="AH2188" s="983"/>
      <c r="AI2188" s="983"/>
      <c r="AJ2188" s="968"/>
      <c r="AL2188" s="937"/>
    </row>
    <row r="2189" spans="2:38" s="930" customFormat="1" ht="20.25" customHeight="1" x14ac:dyDescent="0.2">
      <c r="B2189" s="936"/>
      <c r="C2189" s="936"/>
      <c r="D2189" s="936"/>
      <c r="E2189" s="936"/>
      <c r="AH2189" s="983"/>
      <c r="AI2189" s="983"/>
      <c r="AJ2189" s="968"/>
      <c r="AL2189" s="937"/>
    </row>
    <row r="2190" spans="2:38" s="930" customFormat="1" ht="20.25" customHeight="1" x14ac:dyDescent="0.2">
      <c r="B2190" s="936"/>
      <c r="C2190" s="936"/>
      <c r="D2190" s="936"/>
      <c r="E2190" s="936"/>
      <c r="AH2190" s="983"/>
      <c r="AI2190" s="983"/>
      <c r="AJ2190" s="968"/>
      <c r="AL2190" s="937"/>
    </row>
    <row r="2191" spans="2:38" s="930" customFormat="1" ht="20.25" customHeight="1" x14ac:dyDescent="0.2">
      <c r="B2191" s="936"/>
      <c r="C2191" s="936"/>
      <c r="D2191" s="936"/>
      <c r="E2191" s="936"/>
      <c r="AH2191" s="983"/>
      <c r="AI2191" s="983"/>
      <c r="AJ2191" s="968"/>
      <c r="AL2191" s="937"/>
    </row>
    <row r="2192" spans="2:38" s="930" customFormat="1" ht="20.25" customHeight="1" x14ac:dyDescent="0.2">
      <c r="B2192" s="936"/>
      <c r="C2192" s="936"/>
      <c r="D2192" s="936"/>
      <c r="E2192" s="936"/>
      <c r="AH2192" s="983"/>
      <c r="AI2192" s="983"/>
      <c r="AJ2192" s="968"/>
      <c r="AL2192" s="937"/>
    </row>
    <row r="2193" spans="2:38" s="930" customFormat="1" ht="20.25" customHeight="1" x14ac:dyDescent="0.2">
      <c r="B2193" s="936"/>
      <c r="C2193" s="936"/>
      <c r="D2193" s="936"/>
      <c r="E2193" s="936"/>
      <c r="AH2193" s="983"/>
      <c r="AI2193" s="983"/>
      <c r="AJ2193" s="968"/>
      <c r="AL2193" s="937"/>
    </row>
    <row r="2194" spans="2:38" s="930" customFormat="1" ht="20.25" customHeight="1" x14ac:dyDescent="0.2">
      <c r="B2194" s="936"/>
      <c r="C2194" s="936"/>
      <c r="D2194" s="936"/>
      <c r="E2194" s="936"/>
      <c r="AH2194" s="983"/>
      <c r="AI2194" s="983"/>
      <c r="AJ2194" s="968"/>
      <c r="AL2194" s="937"/>
    </row>
    <row r="2195" spans="2:38" s="930" customFormat="1" ht="20.25" customHeight="1" x14ac:dyDescent="0.2">
      <c r="B2195" s="936"/>
      <c r="C2195" s="936"/>
      <c r="D2195" s="936"/>
      <c r="E2195" s="936"/>
      <c r="AH2195" s="983"/>
      <c r="AI2195" s="983"/>
      <c r="AJ2195" s="968"/>
      <c r="AL2195" s="937"/>
    </row>
    <row r="2196" spans="2:38" s="930" customFormat="1" ht="20.25" customHeight="1" x14ac:dyDescent="0.2">
      <c r="B2196" s="936"/>
      <c r="C2196" s="936"/>
      <c r="D2196" s="936"/>
      <c r="E2196" s="936"/>
      <c r="AH2196" s="983"/>
      <c r="AI2196" s="983"/>
      <c r="AJ2196" s="968"/>
      <c r="AL2196" s="937"/>
    </row>
    <row r="2197" spans="2:38" s="930" customFormat="1" ht="20.25" customHeight="1" x14ac:dyDescent="0.2">
      <c r="B2197" s="936"/>
      <c r="C2197" s="936"/>
      <c r="D2197" s="936"/>
      <c r="E2197" s="936"/>
      <c r="AH2197" s="983"/>
      <c r="AI2197" s="983"/>
      <c r="AJ2197" s="968"/>
      <c r="AL2197" s="937"/>
    </row>
    <row r="2198" spans="2:38" s="930" customFormat="1" ht="20.25" customHeight="1" x14ac:dyDescent="0.2">
      <c r="B2198" s="936"/>
      <c r="C2198" s="936"/>
      <c r="D2198" s="936"/>
      <c r="E2198" s="936"/>
      <c r="AH2198" s="983"/>
      <c r="AI2198" s="983"/>
      <c r="AJ2198" s="968"/>
      <c r="AL2198" s="937"/>
    </row>
    <row r="2199" spans="2:38" s="930" customFormat="1" ht="20.25" customHeight="1" x14ac:dyDescent="0.2">
      <c r="B2199" s="936"/>
      <c r="C2199" s="936"/>
      <c r="D2199" s="936"/>
      <c r="E2199" s="936"/>
      <c r="AH2199" s="983"/>
      <c r="AI2199" s="983"/>
      <c r="AJ2199" s="968"/>
      <c r="AL2199" s="937"/>
    </row>
    <row r="2200" spans="2:38" s="930" customFormat="1" ht="20.25" customHeight="1" x14ac:dyDescent="0.2">
      <c r="B2200" s="936"/>
      <c r="C2200" s="936"/>
      <c r="D2200" s="936"/>
      <c r="E2200" s="936"/>
      <c r="AH2200" s="983"/>
      <c r="AI2200" s="983"/>
      <c r="AJ2200" s="968"/>
      <c r="AL2200" s="937"/>
    </row>
    <row r="2201" spans="2:38" s="930" customFormat="1" ht="20.25" customHeight="1" x14ac:dyDescent="0.2">
      <c r="B2201" s="936"/>
      <c r="C2201" s="936"/>
      <c r="D2201" s="936"/>
      <c r="E2201" s="936"/>
      <c r="AH2201" s="983"/>
      <c r="AI2201" s="983"/>
      <c r="AJ2201" s="968"/>
      <c r="AL2201" s="937"/>
    </row>
    <row r="2202" spans="2:38" s="930" customFormat="1" ht="20.25" customHeight="1" x14ac:dyDescent="0.2">
      <c r="B2202" s="936"/>
      <c r="C2202" s="936"/>
      <c r="D2202" s="936"/>
      <c r="E2202" s="936"/>
      <c r="AH2202" s="983"/>
      <c r="AI2202" s="983"/>
      <c r="AJ2202" s="968"/>
      <c r="AL2202" s="937"/>
    </row>
    <row r="2203" spans="2:38" s="930" customFormat="1" ht="20.25" customHeight="1" x14ac:dyDescent="0.2">
      <c r="B2203" s="936"/>
      <c r="C2203" s="936"/>
      <c r="D2203" s="936"/>
      <c r="E2203" s="936"/>
      <c r="AH2203" s="983"/>
      <c r="AI2203" s="983"/>
      <c r="AJ2203" s="968"/>
      <c r="AL2203" s="937"/>
    </row>
    <row r="2204" spans="2:38" s="930" customFormat="1" ht="20.25" customHeight="1" x14ac:dyDescent="0.2">
      <c r="B2204" s="936"/>
      <c r="C2204" s="936"/>
      <c r="D2204" s="936"/>
      <c r="E2204" s="936"/>
      <c r="AH2204" s="983"/>
      <c r="AI2204" s="983"/>
      <c r="AJ2204" s="968"/>
      <c r="AL2204" s="937"/>
    </row>
    <row r="2205" spans="2:38" s="930" customFormat="1" ht="20.25" customHeight="1" x14ac:dyDescent="0.2">
      <c r="B2205" s="936"/>
      <c r="C2205" s="936"/>
      <c r="D2205" s="936"/>
      <c r="E2205" s="936"/>
      <c r="AH2205" s="983"/>
      <c r="AI2205" s="983"/>
      <c r="AJ2205" s="968"/>
      <c r="AL2205" s="937"/>
    </row>
    <row r="2206" spans="2:38" s="930" customFormat="1" ht="20.25" customHeight="1" x14ac:dyDescent="0.2">
      <c r="B2206" s="936"/>
      <c r="C2206" s="936"/>
      <c r="D2206" s="936"/>
      <c r="E2206" s="936"/>
      <c r="AH2206" s="983"/>
      <c r="AI2206" s="983"/>
      <c r="AJ2206" s="968"/>
      <c r="AL2206" s="937"/>
    </row>
    <row r="2207" spans="2:38" s="930" customFormat="1" ht="20.25" customHeight="1" x14ac:dyDescent="0.2">
      <c r="B2207" s="936"/>
      <c r="C2207" s="936"/>
      <c r="D2207" s="936"/>
      <c r="E2207" s="936"/>
      <c r="AH2207" s="983"/>
      <c r="AI2207" s="983"/>
      <c r="AJ2207" s="968"/>
      <c r="AL2207" s="937"/>
    </row>
    <row r="2208" spans="2:38" s="930" customFormat="1" ht="20.25" customHeight="1" x14ac:dyDescent="0.2">
      <c r="B2208" s="936"/>
      <c r="C2208" s="936"/>
      <c r="D2208" s="936"/>
      <c r="E2208" s="936"/>
      <c r="AH2208" s="983"/>
      <c r="AI2208" s="983"/>
      <c r="AJ2208" s="968"/>
      <c r="AL2208" s="937"/>
    </row>
    <row r="2209" spans="2:38" s="930" customFormat="1" ht="20.25" customHeight="1" x14ac:dyDescent="0.2">
      <c r="B2209" s="936"/>
      <c r="C2209" s="936"/>
      <c r="D2209" s="936"/>
      <c r="E2209" s="936"/>
      <c r="AH2209" s="983"/>
      <c r="AI2209" s="983"/>
      <c r="AJ2209" s="968"/>
      <c r="AL2209" s="937"/>
    </row>
    <row r="2210" spans="2:38" s="930" customFormat="1" ht="20.25" customHeight="1" x14ac:dyDescent="0.2">
      <c r="B2210" s="936"/>
      <c r="C2210" s="936"/>
      <c r="D2210" s="936"/>
      <c r="E2210" s="936"/>
      <c r="AH2210" s="983"/>
      <c r="AI2210" s="983"/>
      <c r="AJ2210" s="968"/>
      <c r="AL2210" s="937"/>
    </row>
    <row r="2211" spans="2:38" s="930" customFormat="1" ht="20.25" customHeight="1" x14ac:dyDescent="0.2">
      <c r="B2211" s="936"/>
      <c r="C2211" s="936"/>
      <c r="D2211" s="936"/>
      <c r="E2211" s="936"/>
      <c r="AH2211" s="983"/>
      <c r="AI2211" s="983"/>
      <c r="AJ2211" s="968"/>
      <c r="AL2211" s="937"/>
    </row>
    <row r="2212" spans="2:38" s="930" customFormat="1" ht="20.25" customHeight="1" x14ac:dyDescent="0.2">
      <c r="B2212" s="936"/>
      <c r="C2212" s="936"/>
      <c r="D2212" s="936"/>
      <c r="E2212" s="936"/>
      <c r="AH2212" s="983"/>
      <c r="AI2212" s="983"/>
      <c r="AJ2212" s="968"/>
      <c r="AL2212" s="937"/>
    </row>
    <row r="2213" spans="2:38" s="930" customFormat="1" ht="20.25" customHeight="1" x14ac:dyDescent="0.2">
      <c r="B2213" s="936"/>
      <c r="C2213" s="936"/>
      <c r="D2213" s="936"/>
      <c r="E2213" s="936"/>
      <c r="AH2213" s="983"/>
      <c r="AI2213" s="983"/>
      <c r="AJ2213" s="968"/>
      <c r="AL2213" s="937"/>
    </row>
    <row r="2214" spans="2:38" s="930" customFormat="1" ht="20.25" customHeight="1" x14ac:dyDescent="0.2">
      <c r="B2214" s="936"/>
      <c r="C2214" s="936"/>
      <c r="D2214" s="936"/>
      <c r="E2214" s="936"/>
      <c r="AH2214" s="983"/>
      <c r="AI2214" s="983"/>
      <c r="AJ2214" s="968"/>
      <c r="AL2214" s="937"/>
    </row>
    <row r="2215" spans="2:38" s="930" customFormat="1" ht="20.25" customHeight="1" x14ac:dyDescent="0.2">
      <c r="B2215" s="936"/>
      <c r="C2215" s="936"/>
      <c r="D2215" s="936"/>
      <c r="E2215" s="936"/>
      <c r="AH2215" s="983"/>
      <c r="AI2215" s="983"/>
      <c r="AJ2215" s="968"/>
      <c r="AL2215" s="937"/>
    </row>
    <row r="2216" spans="2:38" s="930" customFormat="1" ht="20.25" customHeight="1" x14ac:dyDescent="0.2">
      <c r="B2216" s="936"/>
      <c r="C2216" s="936"/>
      <c r="D2216" s="936"/>
      <c r="E2216" s="936"/>
      <c r="AH2216" s="983"/>
      <c r="AI2216" s="983"/>
      <c r="AJ2216" s="968"/>
      <c r="AL2216" s="937"/>
    </row>
    <row r="2217" spans="2:38" s="930" customFormat="1" ht="20.25" customHeight="1" x14ac:dyDescent="0.2">
      <c r="B2217" s="936"/>
      <c r="C2217" s="936"/>
      <c r="D2217" s="936"/>
      <c r="E2217" s="936"/>
      <c r="AH2217" s="983"/>
      <c r="AI2217" s="983"/>
      <c r="AJ2217" s="968"/>
      <c r="AL2217" s="937"/>
    </row>
    <row r="2218" spans="2:38" s="930" customFormat="1" ht="20.25" customHeight="1" x14ac:dyDescent="0.2">
      <c r="B2218" s="936"/>
      <c r="C2218" s="936"/>
      <c r="D2218" s="936"/>
      <c r="E2218" s="936"/>
      <c r="AH2218" s="983"/>
      <c r="AI2218" s="983"/>
      <c r="AJ2218" s="968"/>
      <c r="AL2218" s="937"/>
    </row>
    <row r="2219" spans="2:38" s="930" customFormat="1" ht="20.25" customHeight="1" x14ac:dyDescent="0.2">
      <c r="B2219" s="936"/>
      <c r="C2219" s="936"/>
      <c r="D2219" s="936"/>
      <c r="E2219" s="936"/>
      <c r="AH2219" s="983"/>
      <c r="AI2219" s="983"/>
      <c r="AJ2219" s="968"/>
      <c r="AL2219" s="937"/>
    </row>
    <row r="2220" spans="2:38" s="930" customFormat="1" ht="20.25" customHeight="1" x14ac:dyDescent="0.2">
      <c r="B2220" s="936"/>
      <c r="C2220" s="936"/>
      <c r="D2220" s="936"/>
      <c r="E2220" s="936"/>
      <c r="AH2220" s="983"/>
      <c r="AI2220" s="983"/>
      <c r="AJ2220" s="968"/>
      <c r="AL2220" s="937"/>
    </row>
    <row r="2221" spans="2:38" s="930" customFormat="1" ht="20.25" customHeight="1" x14ac:dyDescent="0.2">
      <c r="B2221" s="936"/>
      <c r="C2221" s="936"/>
      <c r="D2221" s="936"/>
      <c r="E2221" s="936"/>
      <c r="AH2221" s="983"/>
      <c r="AI2221" s="983"/>
      <c r="AJ2221" s="968"/>
      <c r="AL2221" s="937"/>
    </row>
    <row r="2222" spans="2:38" s="930" customFormat="1" ht="20.25" customHeight="1" x14ac:dyDescent="0.2">
      <c r="B2222" s="936"/>
      <c r="C2222" s="936"/>
      <c r="D2222" s="936"/>
      <c r="E2222" s="936"/>
      <c r="AH2222" s="983"/>
      <c r="AI2222" s="983"/>
      <c r="AJ2222" s="968"/>
      <c r="AL2222" s="937"/>
    </row>
    <row r="2223" spans="2:38" s="930" customFormat="1" ht="20.25" customHeight="1" x14ac:dyDescent="0.2">
      <c r="B2223" s="936"/>
      <c r="C2223" s="936"/>
      <c r="D2223" s="936"/>
      <c r="E2223" s="936"/>
      <c r="AH2223" s="983"/>
      <c r="AI2223" s="983"/>
      <c r="AJ2223" s="968"/>
      <c r="AL2223" s="937"/>
    </row>
    <row r="2224" spans="2:38" s="930" customFormat="1" ht="20.25" customHeight="1" x14ac:dyDescent="0.2">
      <c r="B2224" s="936"/>
      <c r="C2224" s="936"/>
      <c r="D2224" s="936"/>
      <c r="E2224" s="936"/>
      <c r="AH2224" s="983"/>
      <c r="AI2224" s="983"/>
      <c r="AJ2224" s="968"/>
      <c r="AL2224" s="937"/>
    </row>
    <row r="2225" spans="2:38" s="930" customFormat="1" ht="20.25" customHeight="1" x14ac:dyDescent="0.2">
      <c r="B2225" s="936"/>
      <c r="C2225" s="936"/>
      <c r="D2225" s="936"/>
      <c r="E2225" s="936"/>
      <c r="AH2225" s="983"/>
      <c r="AI2225" s="983"/>
      <c r="AJ2225" s="968"/>
      <c r="AL2225" s="937"/>
    </row>
    <row r="2226" spans="2:38" s="930" customFormat="1" ht="20.25" customHeight="1" x14ac:dyDescent="0.2">
      <c r="B2226" s="936"/>
      <c r="C2226" s="936"/>
      <c r="D2226" s="936"/>
      <c r="E2226" s="936"/>
      <c r="AH2226" s="983"/>
      <c r="AI2226" s="983"/>
      <c r="AJ2226" s="968"/>
      <c r="AL2226" s="937"/>
    </row>
    <row r="2227" spans="2:38" s="930" customFormat="1" ht="20.25" customHeight="1" x14ac:dyDescent="0.2">
      <c r="B2227" s="936"/>
      <c r="C2227" s="936"/>
      <c r="D2227" s="936"/>
      <c r="E2227" s="936"/>
      <c r="AH2227" s="983"/>
      <c r="AI2227" s="983"/>
      <c r="AJ2227" s="968"/>
      <c r="AL2227" s="937"/>
    </row>
    <row r="2228" spans="2:38" s="930" customFormat="1" ht="20.25" customHeight="1" x14ac:dyDescent="0.2">
      <c r="B2228" s="936"/>
      <c r="C2228" s="936"/>
      <c r="D2228" s="936"/>
      <c r="E2228" s="936"/>
      <c r="AH2228" s="983"/>
      <c r="AI2228" s="983"/>
      <c r="AJ2228" s="968"/>
      <c r="AL2228" s="937"/>
    </row>
    <row r="2229" spans="2:38" s="930" customFormat="1" ht="20.25" customHeight="1" x14ac:dyDescent="0.2">
      <c r="B2229" s="936"/>
      <c r="C2229" s="936"/>
      <c r="D2229" s="936"/>
      <c r="E2229" s="936"/>
      <c r="AH2229" s="983"/>
      <c r="AI2229" s="983"/>
      <c r="AJ2229" s="968"/>
      <c r="AL2229" s="937"/>
    </row>
    <row r="2230" spans="2:38" s="930" customFormat="1" ht="20.25" customHeight="1" x14ac:dyDescent="0.2">
      <c r="B2230" s="936"/>
      <c r="C2230" s="936"/>
      <c r="D2230" s="936"/>
      <c r="E2230" s="936"/>
      <c r="AH2230" s="983"/>
      <c r="AI2230" s="983"/>
      <c r="AJ2230" s="968"/>
      <c r="AL2230" s="937"/>
    </row>
    <row r="2231" spans="2:38" s="930" customFormat="1" ht="20.25" customHeight="1" x14ac:dyDescent="0.2">
      <c r="B2231" s="936"/>
      <c r="C2231" s="936"/>
      <c r="D2231" s="936"/>
      <c r="E2231" s="936"/>
      <c r="AH2231" s="983"/>
      <c r="AI2231" s="983"/>
      <c r="AJ2231" s="968"/>
      <c r="AL2231" s="937"/>
    </row>
    <row r="2232" spans="2:38" s="930" customFormat="1" ht="20.25" customHeight="1" x14ac:dyDescent="0.2">
      <c r="B2232" s="936"/>
      <c r="C2232" s="936"/>
      <c r="D2232" s="936"/>
      <c r="E2232" s="936"/>
      <c r="AH2232" s="983"/>
      <c r="AI2232" s="983"/>
      <c r="AJ2232" s="968"/>
      <c r="AL2232" s="937"/>
    </row>
    <row r="2233" spans="2:38" s="930" customFormat="1" ht="20.25" customHeight="1" x14ac:dyDescent="0.2">
      <c r="B2233" s="936"/>
      <c r="C2233" s="936"/>
      <c r="D2233" s="936"/>
      <c r="E2233" s="936"/>
      <c r="AH2233" s="983"/>
      <c r="AI2233" s="983"/>
      <c r="AJ2233" s="968"/>
      <c r="AL2233" s="937"/>
    </row>
    <row r="2234" spans="2:38" s="930" customFormat="1" ht="20.25" customHeight="1" x14ac:dyDescent="0.2">
      <c r="B2234" s="936"/>
      <c r="C2234" s="936"/>
      <c r="D2234" s="936"/>
      <c r="E2234" s="936"/>
      <c r="AH2234" s="983"/>
      <c r="AI2234" s="983"/>
      <c r="AJ2234" s="968"/>
      <c r="AL2234" s="937"/>
    </row>
    <row r="2235" spans="2:38" s="930" customFormat="1" ht="20.25" customHeight="1" x14ac:dyDescent="0.2">
      <c r="B2235" s="936"/>
      <c r="C2235" s="936"/>
      <c r="D2235" s="936"/>
      <c r="E2235" s="936"/>
      <c r="AH2235" s="983"/>
      <c r="AI2235" s="983"/>
      <c r="AJ2235" s="968"/>
      <c r="AL2235" s="937"/>
    </row>
    <row r="2236" spans="2:38" s="930" customFormat="1" ht="20.25" customHeight="1" x14ac:dyDescent="0.2">
      <c r="B2236" s="936"/>
      <c r="C2236" s="936"/>
      <c r="D2236" s="936"/>
      <c r="E2236" s="936"/>
      <c r="AH2236" s="983"/>
      <c r="AI2236" s="983"/>
      <c r="AJ2236" s="968"/>
      <c r="AL2236" s="937"/>
    </row>
    <row r="2237" spans="2:38" s="930" customFormat="1" ht="20.25" customHeight="1" x14ac:dyDescent="0.2">
      <c r="B2237" s="936"/>
      <c r="C2237" s="936"/>
      <c r="D2237" s="936"/>
      <c r="E2237" s="936"/>
      <c r="AH2237" s="983"/>
      <c r="AI2237" s="983"/>
      <c r="AJ2237" s="968"/>
      <c r="AL2237" s="937"/>
    </row>
    <row r="2238" spans="2:38" s="930" customFormat="1" ht="20.25" customHeight="1" x14ac:dyDescent="0.2">
      <c r="B2238" s="936"/>
      <c r="C2238" s="936"/>
      <c r="D2238" s="936"/>
      <c r="E2238" s="936"/>
      <c r="AH2238" s="983"/>
      <c r="AI2238" s="983"/>
      <c r="AJ2238" s="968"/>
      <c r="AL2238" s="937"/>
    </row>
    <row r="2239" spans="2:38" s="930" customFormat="1" ht="20.25" customHeight="1" x14ac:dyDescent="0.2">
      <c r="B2239" s="936"/>
      <c r="C2239" s="936"/>
      <c r="D2239" s="936"/>
      <c r="E2239" s="936"/>
      <c r="AH2239" s="983"/>
      <c r="AI2239" s="983"/>
      <c r="AJ2239" s="968"/>
      <c r="AL2239" s="937"/>
    </row>
    <row r="2240" spans="2:38" s="930" customFormat="1" ht="20.25" customHeight="1" x14ac:dyDescent="0.2">
      <c r="B2240" s="936"/>
      <c r="C2240" s="936"/>
      <c r="D2240" s="936"/>
      <c r="E2240" s="936"/>
      <c r="AH2240" s="983"/>
      <c r="AI2240" s="983"/>
      <c r="AJ2240" s="968"/>
      <c r="AL2240" s="937"/>
    </row>
    <row r="2241" spans="2:38" s="930" customFormat="1" ht="20.25" customHeight="1" x14ac:dyDescent="0.2">
      <c r="B2241" s="936"/>
      <c r="C2241" s="936"/>
      <c r="D2241" s="936"/>
      <c r="E2241" s="936"/>
      <c r="AH2241" s="983"/>
      <c r="AI2241" s="983"/>
      <c r="AJ2241" s="968"/>
      <c r="AL2241" s="937"/>
    </row>
    <row r="2242" spans="2:38" s="930" customFormat="1" ht="20.25" customHeight="1" x14ac:dyDescent="0.2">
      <c r="B2242" s="936"/>
      <c r="C2242" s="936"/>
      <c r="D2242" s="936"/>
      <c r="E2242" s="936"/>
      <c r="AH2242" s="983"/>
      <c r="AI2242" s="983"/>
      <c r="AJ2242" s="968"/>
      <c r="AL2242" s="937"/>
    </row>
    <row r="2243" spans="2:38" s="930" customFormat="1" ht="20.25" customHeight="1" x14ac:dyDescent="0.2">
      <c r="B2243" s="936"/>
      <c r="C2243" s="936"/>
      <c r="D2243" s="936"/>
      <c r="E2243" s="936"/>
      <c r="AH2243" s="983"/>
      <c r="AI2243" s="983"/>
      <c r="AJ2243" s="968"/>
      <c r="AL2243" s="937"/>
    </row>
    <row r="2244" spans="2:38" s="930" customFormat="1" ht="20.25" customHeight="1" x14ac:dyDescent="0.2">
      <c r="B2244" s="936"/>
      <c r="C2244" s="936"/>
      <c r="D2244" s="936"/>
      <c r="E2244" s="936"/>
      <c r="AH2244" s="983"/>
      <c r="AI2244" s="983"/>
      <c r="AJ2244" s="968"/>
      <c r="AL2244" s="937"/>
    </row>
    <row r="2245" spans="2:38" s="930" customFormat="1" ht="20.25" customHeight="1" x14ac:dyDescent="0.2">
      <c r="B2245" s="936"/>
      <c r="C2245" s="936"/>
      <c r="D2245" s="936"/>
      <c r="E2245" s="936"/>
      <c r="AH2245" s="983"/>
      <c r="AI2245" s="983"/>
      <c r="AJ2245" s="968"/>
      <c r="AL2245" s="937"/>
    </row>
    <row r="2246" spans="2:38" s="930" customFormat="1" ht="20.25" customHeight="1" x14ac:dyDescent="0.2">
      <c r="B2246" s="936"/>
      <c r="C2246" s="936"/>
      <c r="D2246" s="936"/>
      <c r="E2246" s="936"/>
      <c r="AH2246" s="983"/>
      <c r="AI2246" s="983"/>
      <c r="AJ2246" s="968"/>
      <c r="AL2246" s="937"/>
    </row>
    <row r="2247" spans="2:38" s="930" customFormat="1" ht="20.25" customHeight="1" x14ac:dyDescent="0.2">
      <c r="B2247" s="936"/>
      <c r="C2247" s="936"/>
      <c r="D2247" s="936"/>
      <c r="E2247" s="936"/>
      <c r="AH2247" s="983"/>
      <c r="AI2247" s="983"/>
      <c r="AJ2247" s="968"/>
      <c r="AL2247" s="937"/>
    </row>
    <row r="2248" spans="2:38" s="930" customFormat="1" ht="20.25" customHeight="1" x14ac:dyDescent="0.2">
      <c r="B2248" s="936"/>
      <c r="C2248" s="936"/>
      <c r="D2248" s="936"/>
      <c r="E2248" s="936"/>
      <c r="AH2248" s="983"/>
      <c r="AI2248" s="983"/>
      <c r="AJ2248" s="968"/>
      <c r="AL2248" s="937"/>
    </row>
    <row r="2249" spans="2:38" s="930" customFormat="1" ht="20.25" customHeight="1" x14ac:dyDescent="0.2">
      <c r="B2249" s="936"/>
      <c r="C2249" s="936"/>
      <c r="D2249" s="936"/>
      <c r="E2249" s="936"/>
      <c r="AH2249" s="983"/>
      <c r="AI2249" s="983"/>
      <c r="AJ2249" s="968"/>
      <c r="AL2249" s="937"/>
    </row>
    <row r="2250" spans="2:38" s="930" customFormat="1" ht="20.25" customHeight="1" x14ac:dyDescent="0.2">
      <c r="B2250" s="936"/>
      <c r="C2250" s="936"/>
      <c r="D2250" s="936"/>
      <c r="E2250" s="936"/>
      <c r="AH2250" s="983"/>
      <c r="AI2250" s="983"/>
      <c r="AJ2250" s="968"/>
      <c r="AL2250" s="937"/>
    </row>
    <row r="2251" spans="2:38" s="930" customFormat="1" ht="20.25" customHeight="1" x14ac:dyDescent="0.2">
      <c r="B2251" s="936"/>
      <c r="C2251" s="936"/>
      <c r="D2251" s="936"/>
      <c r="E2251" s="936"/>
      <c r="AH2251" s="983"/>
      <c r="AI2251" s="983"/>
      <c r="AJ2251" s="968"/>
      <c r="AL2251" s="937"/>
    </row>
    <row r="2252" spans="2:38" s="930" customFormat="1" ht="20.25" customHeight="1" x14ac:dyDescent="0.2">
      <c r="B2252" s="936"/>
      <c r="C2252" s="936"/>
      <c r="D2252" s="936"/>
      <c r="E2252" s="936"/>
      <c r="AH2252" s="983"/>
      <c r="AI2252" s="983"/>
      <c r="AJ2252" s="968"/>
      <c r="AL2252" s="937"/>
    </row>
    <row r="2253" spans="2:38" s="930" customFormat="1" ht="20.25" customHeight="1" x14ac:dyDescent="0.2">
      <c r="B2253" s="936"/>
      <c r="C2253" s="936"/>
      <c r="D2253" s="936"/>
      <c r="E2253" s="936"/>
      <c r="AH2253" s="983"/>
      <c r="AI2253" s="983"/>
      <c r="AJ2253" s="968"/>
      <c r="AL2253" s="937"/>
    </row>
    <row r="2254" spans="2:38" s="930" customFormat="1" ht="20.25" customHeight="1" x14ac:dyDescent="0.2">
      <c r="B2254" s="936"/>
      <c r="C2254" s="936"/>
      <c r="D2254" s="936"/>
      <c r="E2254" s="936"/>
      <c r="AH2254" s="983"/>
      <c r="AI2254" s="983"/>
      <c r="AJ2254" s="968"/>
      <c r="AL2254" s="937"/>
    </row>
    <row r="2255" spans="2:38" s="930" customFormat="1" ht="20.25" customHeight="1" x14ac:dyDescent="0.2">
      <c r="B2255" s="936"/>
      <c r="C2255" s="936"/>
      <c r="D2255" s="936"/>
      <c r="E2255" s="936"/>
      <c r="AH2255" s="983"/>
      <c r="AI2255" s="983"/>
      <c r="AJ2255" s="968"/>
      <c r="AL2255" s="937"/>
    </row>
    <row r="2256" spans="2:38" s="930" customFormat="1" ht="20.25" customHeight="1" x14ac:dyDescent="0.2">
      <c r="B2256" s="936"/>
      <c r="C2256" s="936"/>
      <c r="D2256" s="936"/>
      <c r="E2256" s="936"/>
      <c r="AH2256" s="983"/>
      <c r="AI2256" s="983"/>
      <c r="AJ2256" s="968"/>
      <c r="AL2256" s="937"/>
    </row>
    <row r="2257" spans="2:38" s="930" customFormat="1" ht="20.25" customHeight="1" x14ac:dyDescent="0.2">
      <c r="B2257" s="936"/>
      <c r="C2257" s="936"/>
      <c r="D2257" s="936"/>
      <c r="E2257" s="936"/>
      <c r="AH2257" s="983"/>
      <c r="AI2257" s="983"/>
      <c r="AJ2257" s="968"/>
      <c r="AL2257" s="937"/>
    </row>
    <row r="2258" spans="2:38" s="930" customFormat="1" ht="20.25" customHeight="1" x14ac:dyDescent="0.2">
      <c r="B2258" s="936"/>
      <c r="C2258" s="936"/>
      <c r="D2258" s="936"/>
      <c r="E2258" s="936"/>
      <c r="AH2258" s="983"/>
      <c r="AI2258" s="983"/>
      <c r="AJ2258" s="968"/>
      <c r="AL2258" s="937"/>
    </row>
    <row r="2259" spans="2:38" s="930" customFormat="1" ht="20.25" customHeight="1" x14ac:dyDescent="0.2">
      <c r="B2259" s="936"/>
      <c r="C2259" s="936"/>
      <c r="D2259" s="936"/>
      <c r="E2259" s="936"/>
      <c r="AH2259" s="983"/>
      <c r="AI2259" s="983"/>
      <c r="AJ2259" s="968"/>
      <c r="AL2259" s="937"/>
    </row>
    <row r="2260" spans="2:38" s="930" customFormat="1" ht="20.25" customHeight="1" x14ac:dyDescent="0.2">
      <c r="B2260" s="936"/>
      <c r="C2260" s="936"/>
      <c r="D2260" s="936"/>
      <c r="E2260" s="936"/>
      <c r="AH2260" s="983"/>
      <c r="AI2260" s="983"/>
      <c r="AJ2260" s="968"/>
      <c r="AL2260" s="937"/>
    </row>
    <row r="2261" spans="2:38" s="930" customFormat="1" ht="20.25" customHeight="1" x14ac:dyDescent="0.2">
      <c r="B2261" s="936"/>
      <c r="C2261" s="936"/>
      <c r="D2261" s="936"/>
      <c r="E2261" s="936"/>
      <c r="AH2261" s="983"/>
      <c r="AI2261" s="983"/>
      <c r="AJ2261" s="968"/>
      <c r="AL2261" s="937"/>
    </row>
    <row r="2262" spans="2:38" s="930" customFormat="1" ht="20.25" customHeight="1" x14ac:dyDescent="0.2">
      <c r="B2262" s="936"/>
      <c r="C2262" s="936"/>
      <c r="D2262" s="936"/>
      <c r="E2262" s="936"/>
      <c r="AH2262" s="983"/>
      <c r="AI2262" s="983"/>
      <c r="AJ2262" s="968"/>
      <c r="AL2262" s="937"/>
    </row>
    <row r="2263" spans="2:38" s="930" customFormat="1" ht="20.25" customHeight="1" x14ac:dyDescent="0.2">
      <c r="B2263" s="936"/>
      <c r="C2263" s="936"/>
      <c r="D2263" s="936"/>
      <c r="E2263" s="936"/>
      <c r="AH2263" s="983"/>
      <c r="AI2263" s="983"/>
      <c r="AJ2263" s="968"/>
      <c r="AL2263" s="937"/>
    </row>
    <row r="2264" spans="2:38" s="930" customFormat="1" ht="20.25" customHeight="1" x14ac:dyDescent="0.2">
      <c r="B2264" s="936"/>
      <c r="C2264" s="936"/>
      <c r="D2264" s="936"/>
      <c r="E2264" s="936"/>
      <c r="AH2264" s="983"/>
      <c r="AI2264" s="983"/>
      <c r="AJ2264" s="968"/>
      <c r="AL2264" s="937"/>
    </row>
    <row r="2265" spans="2:38" s="930" customFormat="1" ht="20.25" customHeight="1" x14ac:dyDescent="0.2">
      <c r="B2265" s="936"/>
      <c r="C2265" s="936"/>
      <c r="D2265" s="936"/>
      <c r="E2265" s="936"/>
      <c r="AH2265" s="983"/>
      <c r="AI2265" s="983"/>
      <c r="AJ2265" s="968"/>
      <c r="AL2265" s="937"/>
    </row>
    <row r="2266" spans="2:38" s="930" customFormat="1" ht="20.25" customHeight="1" x14ac:dyDescent="0.2">
      <c r="B2266" s="936"/>
      <c r="C2266" s="936"/>
      <c r="D2266" s="936"/>
      <c r="E2266" s="936"/>
      <c r="AH2266" s="983"/>
      <c r="AI2266" s="983"/>
      <c r="AJ2266" s="968"/>
      <c r="AL2266" s="937"/>
    </row>
    <row r="2267" spans="2:38" s="930" customFormat="1" ht="20.25" customHeight="1" x14ac:dyDescent="0.2">
      <c r="B2267" s="936"/>
      <c r="C2267" s="936"/>
      <c r="D2267" s="936"/>
      <c r="E2267" s="936"/>
      <c r="AH2267" s="983"/>
      <c r="AI2267" s="983"/>
      <c r="AJ2267" s="968"/>
      <c r="AL2267" s="937"/>
    </row>
    <row r="2268" spans="2:38" s="930" customFormat="1" ht="20.25" customHeight="1" x14ac:dyDescent="0.2">
      <c r="B2268" s="936"/>
      <c r="C2268" s="936"/>
      <c r="D2268" s="936"/>
      <c r="E2268" s="936"/>
      <c r="AH2268" s="983"/>
      <c r="AI2268" s="983"/>
      <c r="AJ2268" s="968"/>
      <c r="AL2268" s="937"/>
    </row>
    <row r="2269" spans="2:38" s="930" customFormat="1" ht="20.25" customHeight="1" x14ac:dyDescent="0.2">
      <c r="B2269" s="936"/>
      <c r="C2269" s="936"/>
      <c r="D2269" s="936"/>
      <c r="E2269" s="936"/>
      <c r="AH2269" s="983"/>
      <c r="AI2269" s="983"/>
      <c r="AJ2269" s="968"/>
      <c r="AL2269" s="937"/>
    </row>
    <row r="2270" spans="2:38" s="930" customFormat="1" ht="20.25" customHeight="1" x14ac:dyDescent="0.2">
      <c r="B2270" s="936"/>
      <c r="C2270" s="936"/>
      <c r="D2270" s="936"/>
      <c r="E2270" s="936"/>
      <c r="AH2270" s="983"/>
      <c r="AI2270" s="983"/>
      <c r="AJ2270" s="968"/>
      <c r="AL2270" s="937"/>
    </row>
    <row r="2271" spans="2:38" s="930" customFormat="1" ht="20.25" customHeight="1" x14ac:dyDescent="0.2">
      <c r="B2271" s="936"/>
      <c r="C2271" s="936"/>
      <c r="D2271" s="936"/>
      <c r="E2271" s="936"/>
      <c r="AH2271" s="983"/>
      <c r="AI2271" s="983"/>
      <c r="AJ2271" s="968"/>
      <c r="AL2271" s="937"/>
    </row>
    <row r="2272" spans="2:38" s="930" customFormat="1" ht="20.25" customHeight="1" x14ac:dyDescent="0.2">
      <c r="B2272" s="936"/>
      <c r="C2272" s="936"/>
      <c r="D2272" s="936"/>
      <c r="E2272" s="936"/>
      <c r="AH2272" s="983"/>
      <c r="AI2272" s="983"/>
      <c r="AJ2272" s="968"/>
      <c r="AL2272" s="937"/>
    </row>
    <row r="2273" spans="2:38" s="930" customFormat="1" ht="20.25" customHeight="1" x14ac:dyDescent="0.2">
      <c r="B2273" s="936"/>
      <c r="C2273" s="936"/>
      <c r="D2273" s="936"/>
      <c r="E2273" s="936"/>
      <c r="AH2273" s="983"/>
      <c r="AI2273" s="983"/>
      <c r="AJ2273" s="968"/>
      <c r="AL2273" s="937"/>
    </row>
    <row r="2274" spans="2:38" s="930" customFormat="1" ht="20.25" customHeight="1" x14ac:dyDescent="0.2">
      <c r="B2274" s="936"/>
      <c r="C2274" s="936"/>
      <c r="D2274" s="936"/>
      <c r="E2274" s="936"/>
      <c r="AH2274" s="983"/>
      <c r="AI2274" s="983"/>
      <c r="AJ2274" s="968"/>
      <c r="AL2274" s="937"/>
    </row>
    <row r="2275" spans="2:38" s="930" customFormat="1" ht="20.25" customHeight="1" x14ac:dyDescent="0.2">
      <c r="B2275" s="936"/>
      <c r="C2275" s="936"/>
      <c r="D2275" s="936"/>
      <c r="E2275" s="936"/>
      <c r="AH2275" s="983"/>
      <c r="AI2275" s="983"/>
      <c r="AJ2275" s="968"/>
      <c r="AL2275" s="937"/>
    </row>
    <row r="2276" spans="2:38" s="930" customFormat="1" ht="20.25" customHeight="1" x14ac:dyDescent="0.2">
      <c r="B2276" s="936"/>
      <c r="C2276" s="936"/>
      <c r="D2276" s="936"/>
      <c r="E2276" s="936"/>
      <c r="AH2276" s="983"/>
      <c r="AI2276" s="983"/>
      <c r="AJ2276" s="968"/>
      <c r="AL2276" s="937"/>
    </row>
    <row r="2277" spans="2:38" s="930" customFormat="1" ht="20.25" customHeight="1" x14ac:dyDescent="0.2">
      <c r="B2277" s="936"/>
      <c r="C2277" s="936"/>
      <c r="D2277" s="936"/>
      <c r="E2277" s="936"/>
      <c r="AH2277" s="983"/>
      <c r="AI2277" s="983"/>
      <c r="AJ2277" s="968"/>
      <c r="AL2277" s="937"/>
    </row>
    <row r="2278" spans="2:38" s="930" customFormat="1" ht="20.25" customHeight="1" x14ac:dyDescent="0.2">
      <c r="B2278" s="936"/>
      <c r="C2278" s="936"/>
      <c r="D2278" s="936"/>
      <c r="E2278" s="936"/>
      <c r="AH2278" s="983"/>
      <c r="AI2278" s="983"/>
      <c r="AJ2278" s="968"/>
      <c r="AL2278" s="937"/>
    </row>
    <row r="2279" spans="2:38" s="930" customFormat="1" ht="20.25" customHeight="1" x14ac:dyDescent="0.2">
      <c r="B2279" s="936"/>
      <c r="C2279" s="936"/>
      <c r="D2279" s="936"/>
      <c r="E2279" s="936"/>
      <c r="AH2279" s="983"/>
      <c r="AI2279" s="983"/>
      <c r="AJ2279" s="968"/>
      <c r="AL2279" s="937"/>
    </row>
    <row r="2280" spans="2:38" s="930" customFormat="1" ht="20.25" customHeight="1" x14ac:dyDescent="0.2">
      <c r="B2280" s="936"/>
      <c r="C2280" s="936"/>
      <c r="D2280" s="936"/>
      <c r="E2280" s="936"/>
      <c r="AH2280" s="983"/>
      <c r="AI2280" s="983"/>
      <c r="AJ2280" s="968"/>
      <c r="AL2280" s="937"/>
    </row>
    <row r="2281" spans="2:38" s="930" customFormat="1" ht="20.25" customHeight="1" x14ac:dyDescent="0.2">
      <c r="B2281" s="936"/>
      <c r="C2281" s="936"/>
      <c r="D2281" s="936"/>
      <c r="E2281" s="936"/>
      <c r="AH2281" s="983"/>
      <c r="AI2281" s="983"/>
      <c r="AJ2281" s="968"/>
      <c r="AL2281" s="937"/>
    </row>
    <row r="2282" spans="2:38" s="930" customFormat="1" ht="20.25" customHeight="1" x14ac:dyDescent="0.2">
      <c r="B2282" s="936"/>
      <c r="C2282" s="936"/>
      <c r="D2282" s="936"/>
      <c r="E2282" s="936"/>
      <c r="AH2282" s="983"/>
      <c r="AI2282" s="983"/>
      <c r="AJ2282" s="968"/>
      <c r="AL2282" s="937"/>
    </row>
    <row r="2283" spans="2:38" s="930" customFormat="1" ht="20.25" customHeight="1" x14ac:dyDescent="0.2">
      <c r="B2283" s="936"/>
      <c r="C2283" s="936"/>
      <c r="D2283" s="936"/>
      <c r="E2283" s="936"/>
      <c r="AH2283" s="983"/>
      <c r="AI2283" s="983"/>
      <c r="AJ2283" s="968"/>
      <c r="AL2283" s="937"/>
    </row>
    <row r="2284" spans="2:38" s="930" customFormat="1" ht="20.25" customHeight="1" x14ac:dyDescent="0.2">
      <c r="B2284" s="936"/>
      <c r="C2284" s="936"/>
      <c r="D2284" s="936"/>
      <c r="E2284" s="936"/>
      <c r="AH2284" s="983"/>
      <c r="AI2284" s="983"/>
      <c r="AJ2284" s="968"/>
      <c r="AL2284" s="937"/>
    </row>
    <row r="2285" spans="2:38" s="930" customFormat="1" ht="20.25" customHeight="1" x14ac:dyDescent="0.2">
      <c r="B2285" s="936"/>
      <c r="C2285" s="936"/>
      <c r="D2285" s="936"/>
      <c r="E2285" s="936"/>
      <c r="AH2285" s="983"/>
      <c r="AI2285" s="983"/>
      <c r="AJ2285" s="968"/>
      <c r="AL2285" s="937"/>
    </row>
    <row r="2286" spans="2:38" s="930" customFormat="1" ht="20.25" customHeight="1" x14ac:dyDescent="0.2">
      <c r="B2286" s="936"/>
      <c r="C2286" s="936"/>
      <c r="D2286" s="936"/>
      <c r="E2286" s="936"/>
      <c r="AH2286" s="983"/>
      <c r="AI2286" s="983"/>
      <c r="AJ2286" s="968"/>
      <c r="AL2286" s="937"/>
    </row>
    <row r="2287" spans="2:38" s="930" customFormat="1" ht="20.25" customHeight="1" x14ac:dyDescent="0.2">
      <c r="B2287" s="936"/>
      <c r="C2287" s="936"/>
      <c r="D2287" s="936"/>
      <c r="E2287" s="936"/>
      <c r="AH2287" s="983"/>
      <c r="AI2287" s="983"/>
      <c r="AJ2287" s="968"/>
      <c r="AL2287" s="937"/>
    </row>
    <row r="2288" spans="2:38" s="930" customFormat="1" ht="20.25" customHeight="1" x14ac:dyDescent="0.2">
      <c r="B2288" s="936"/>
      <c r="C2288" s="936"/>
      <c r="D2288" s="936"/>
      <c r="E2288" s="936"/>
      <c r="AH2288" s="983"/>
      <c r="AI2288" s="983"/>
      <c r="AJ2288" s="968"/>
      <c r="AL2288" s="937"/>
    </row>
    <row r="2289" spans="2:38" s="930" customFormat="1" ht="20.25" customHeight="1" x14ac:dyDescent="0.2">
      <c r="B2289" s="936"/>
      <c r="C2289" s="936"/>
      <c r="D2289" s="936"/>
      <c r="E2289" s="936"/>
      <c r="AH2289" s="983"/>
      <c r="AI2289" s="983"/>
      <c r="AJ2289" s="968"/>
      <c r="AL2289" s="937"/>
    </row>
    <row r="2290" spans="2:38" s="930" customFormat="1" ht="20.25" customHeight="1" x14ac:dyDescent="0.2">
      <c r="B2290" s="936"/>
      <c r="C2290" s="936"/>
      <c r="D2290" s="936"/>
      <c r="E2290" s="936"/>
      <c r="AH2290" s="983"/>
      <c r="AI2290" s="983"/>
      <c r="AJ2290" s="968"/>
      <c r="AL2290" s="937"/>
    </row>
    <row r="2291" spans="2:38" s="930" customFormat="1" ht="20.25" customHeight="1" x14ac:dyDescent="0.2">
      <c r="B2291" s="936"/>
      <c r="C2291" s="936"/>
      <c r="D2291" s="936"/>
      <c r="E2291" s="936"/>
      <c r="AH2291" s="983"/>
      <c r="AI2291" s="983"/>
      <c r="AJ2291" s="968"/>
      <c r="AL2291" s="937"/>
    </row>
    <row r="2292" spans="2:38" s="930" customFormat="1" ht="20.25" customHeight="1" x14ac:dyDescent="0.2">
      <c r="B2292" s="936"/>
      <c r="C2292" s="936"/>
      <c r="D2292" s="936"/>
      <c r="E2292" s="936"/>
      <c r="AH2292" s="983"/>
      <c r="AI2292" s="983"/>
      <c r="AJ2292" s="968"/>
      <c r="AL2292" s="937"/>
    </row>
    <row r="2293" spans="2:38" s="930" customFormat="1" ht="20.25" customHeight="1" x14ac:dyDescent="0.2">
      <c r="B2293" s="936"/>
      <c r="C2293" s="936"/>
      <c r="D2293" s="936"/>
      <c r="E2293" s="936"/>
      <c r="AH2293" s="983"/>
      <c r="AI2293" s="983"/>
      <c r="AJ2293" s="968"/>
      <c r="AL2293" s="937"/>
    </row>
    <row r="2294" spans="2:38" s="930" customFormat="1" ht="20.25" customHeight="1" x14ac:dyDescent="0.2">
      <c r="B2294" s="936"/>
      <c r="C2294" s="936"/>
      <c r="D2294" s="936"/>
      <c r="E2294" s="936"/>
      <c r="AH2294" s="983"/>
      <c r="AI2294" s="983"/>
      <c r="AJ2294" s="968"/>
      <c r="AL2294" s="937"/>
    </row>
    <row r="2295" spans="2:38" s="930" customFormat="1" ht="20.25" customHeight="1" x14ac:dyDescent="0.2">
      <c r="B2295" s="936"/>
      <c r="C2295" s="936"/>
      <c r="D2295" s="936"/>
      <c r="E2295" s="936"/>
      <c r="AH2295" s="983"/>
      <c r="AI2295" s="983"/>
      <c r="AJ2295" s="968"/>
      <c r="AL2295" s="937"/>
    </row>
    <row r="2296" spans="2:38" s="930" customFormat="1" ht="20.25" customHeight="1" x14ac:dyDescent="0.2">
      <c r="B2296" s="936"/>
      <c r="C2296" s="936"/>
      <c r="D2296" s="936"/>
      <c r="E2296" s="936"/>
      <c r="AH2296" s="983"/>
      <c r="AI2296" s="983"/>
      <c r="AJ2296" s="968"/>
      <c r="AL2296" s="937"/>
    </row>
    <row r="2297" spans="2:38" s="930" customFormat="1" ht="20.25" customHeight="1" x14ac:dyDescent="0.2">
      <c r="B2297" s="936"/>
      <c r="C2297" s="936"/>
      <c r="D2297" s="936"/>
      <c r="E2297" s="936"/>
      <c r="AH2297" s="983"/>
      <c r="AI2297" s="983"/>
      <c r="AJ2297" s="968"/>
      <c r="AL2297" s="937"/>
    </row>
    <row r="2298" spans="2:38" s="930" customFormat="1" ht="20.25" customHeight="1" x14ac:dyDescent="0.2">
      <c r="B2298" s="936"/>
      <c r="C2298" s="936"/>
      <c r="D2298" s="936"/>
      <c r="E2298" s="936"/>
      <c r="AH2298" s="983"/>
      <c r="AI2298" s="983"/>
      <c r="AJ2298" s="968"/>
      <c r="AL2298" s="937"/>
    </row>
    <row r="2299" spans="2:38" s="930" customFormat="1" ht="20.25" customHeight="1" x14ac:dyDescent="0.2">
      <c r="B2299" s="936"/>
      <c r="C2299" s="936"/>
      <c r="D2299" s="936"/>
      <c r="E2299" s="936"/>
      <c r="AH2299" s="983"/>
      <c r="AI2299" s="983"/>
      <c r="AJ2299" s="968"/>
      <c r="AL2299" s="937"/>
    </row>
    <row r="2300" spans="2:38" s="930" customFormat="1" ht="20.25" customHeight="1" x14ac:dyDescent="0.2">
      <c r="B2300" s="936"/>
      <c r="C2300" s="936"/>
      <c r="D2300" s="936"/>
      <c r="E2300" s="936"/>
      <c r="AH2300" s="983"/>
      <c r="AI2300" s="983"/>
      <c r="AJ2300" s="968"/>
      <c r="AL2300" s="937"/>
    </row>
    <row r="2301" spans="2:38" s="930" customFormat="1" ht="20.25" customHeight="1" x14ac:dyDescent="0.2">
      <c r="B2301" s="936"/>
      <c r="C2301" s="936"/>
      <c r="D2301" s="936"/>
      <c r="E2301" s="936"/>
      <c r="AH2301" s="983"/>
      <c r="AI2301" s="983"/>
      <c r="AJ2301" s="968"/>
      <c r="AL2301" s="937"/>
    </row>
    <row r="2302" spans="2:38" s="930" customFormat="1" ht="20.25" customHeight="1" x14ac:dyDescent="0.2">
      <c r="B2302" s="936"/>
      <c r="C2302" s="936"/>
      <c r="D2302" s="936"/>
      <c r="E2302" s="936"/>
      <c r="AH2302" s="983"/>
      <c r="AI2302" s="983"/>
      <c r="AJ2302" s="968"/>
      <c r="AL2302" s="937"/>
    </row>
    <row r="2303" spans="2:38" s="930" customFormat="1" ht="20.25" customHeight="1" x14ac:dyDescent="0.2">
      <c r="B2303" s="936"/>
      <c r="C2303" s="936"/>
      <c r="D2303" s="936"/>
      <c r="E2303" s="936"/>
      <c r="AH2303" s="983"/>
      <c r="AI2303" s="983"/>
      <c r="AJ2303" s="968"/>
      <c r="AL2303" s="937"/>
    </row>
    <row r="2304" spans="2:38" s="930" customFormat="1" ht="20.25" customHeight="1" x14ac:dyDescent="0.2">
      <c r="B2304" s="936"/>
      <c r="C2304" s="936"/>
      <c r="D2304" s="936"/>
      <c r="E2304" s="936"/>
      <c r="AH2304" s="983"/>
      <c r="AI2304" s="983"/>
      <c r="AJ2304" s="968"/>
      <c r="AL2304" s="937"/>
    </row>
    <row r="2305" spans="2:38" s="930" customFormat="1" ht="20.25" customHeight="1" x14ac:dyDescent="0.2">
      <c r="B2305" s="936"/>
      <c r="C2305" s="936"/>
      <c r="D2305" s="936"/>
      <c r="E2305" s="936"/>
      <c r="AH2305" s="983"/>
      <c r="AI2305" s="983"/>
      <c r="AJ2305" s="968"/>
      <c r="AL2305" s="937"/>
    </row>
    <row r="2306" spans="2:38" s="930" customFormat="1" ht="20.25" customHeight="1" x14ac:dyDescent="0.2">
      <c r="B2306" s="936"/>
      <c r="C2306" s="936"/>
      <c r="D2306" s="936"/>
      <c r="E2306" s="936"/>
      <c r="AH2306" s="983"/>
      <c r="AI2306" s="983"/>
      <c r="AJ2306" s="968"/>
      <c r="AL2306" s="937"/>
    </row>
    <row r="2307" spans="2:38" s="930" customFormat="1" ht="20.25" customHeight="1" x14ac:dyDescent="0.2">
      <c r="B2307" s="936"/>
      <c r="C2307" s="936"/>
      <c r="D2307" s="936"/>
      <c r="E2307" s="936"/>
      <c r="AH2307" s="983"/>
      <c r="AI2307" s="983"/>
      <c r="AJ2307" s="968"/>
      <c r="AL2307" s="937"/>
    </row>
    <row r="2308" spans="2:38" s="930" customFormat="1" ht="20.25" customHeight="1" x14ac:dyDescent="0.2">
      <c r="B2308" s="936"/>
      <c r="C2308" s="936"/>
      <c r="D2308" s="936"/>
      <c r="E2308" s="936"/>
      <c r="AH2308" s="983"/>
      <c r="AI2308" s="983"/>
      <c r="AJ2308" s="968"/>
      <c r="AL2308" s="937"/>
    </row>
    <row r="2309" spans="2:38" s="930" customFormat="1" ht="20.25" customHeight="1" x14ac:dyDescent="0.2">
      <c r="B2309" s="936"/>
      <c r="C2309" s="936"/>
      <c r="D2309" s="936"/>
      <c r="E2309" s="936"/>
      <c r="AH2309" s="983"/>
      <c r="AI2309" s="983"/>
      <c r="AJ2309" s="968"/>
      <c r="AL2309" s="937"/>
    </row>
    <row r="2310" spans="2:38" s="930" customFormat="1" ht="20.25" customHeight="1" x14ac:dyDescent="0.2">
      <c r="B2310" s="936"/>
      <c r="C2310" s="936"/>
      <c r="D2310" s="936"/>
      <c r="E2310" s="936"/>
      <c r="AH2310" s="983"/>
      <c r="AI2310" s="983"/>
      <c r="AJ2310" s="968"/>
      <c r="AL2310" s="937"/>
    </row>
    <row r="2311" spans="2:38" s="930" customFormat="1" ht="20.25" customHeight="1" x14ac:dyDescent="0.2">
      <c r="B2311" s="936"/>
      <c r="C2311" s="936"/>
      <c r="D2311" s="936"/>
      <c r="E2311" s="936"/>
      <c r="AH2311" s="983"/>
      <c r="AI2311" s="983"/>
      <c r="AJ2311" s="968"/>
      <c r="AL2311" s="937"/>
    </row>
    <row r="2312" spans="2:38" s="930" customFormat="1" ht="20.25" customHeight="1" x14ac:dyDescent="0.2">
      <c r="B2312" s="936"/>
      <c r="C2312" s="936"/>
      <c r="D2312" s="936"/>
      <c r="E2312" s="936"/>
      <c r="AH2312" s="983"/>
      <c r="AI2312" s="983"/>
      <c r="AJ2312" s="968"/>
      <c r="AL2312" s="937"/>
    </row>
    <row r="2313" spans="2:38" s="930" customFormat="1" ht="20.25" customHeight="1" x14ac:dyDescent="0.2">
      <c r="B2313" s="936"/>
      <c r="C2313" s="936"/>
      <c r="D2313" s="936"/>
      <c r="E2313" s="936"/>
      <c r="AH2313" s="983"/>
      <c r="AI2313" s="983"/>
      <c r="AJ2313" s="968"/>
      <c r="AL2313" s="937"/>
    </row>
    <row r="2314" spans="2:38" s="930" customFormat="1" ht="20.25" customHeight="1" x14ac:dyDescent="0.2">
      <c r="B2314" s="936"/>
      <c r="C2314" s="936"/>
      <c r="D2314" s="936"/>
      <c r="E2314" s="936"/>
      <c r="AH2314" s="983"/>
      <c r="AI2314" s="983"/>
      <c r="AJ2314" s="968"/>
      <c r="AL2314" s="937"/>
    </row>
    <row r="2315" spans="2:38" s="930" customFormat="1" ht="20.25" customHeight="1" x14ac:dyDescent="0.2">
      <c r="B2315" s="936"/>
      <c r="C2315" s="936"/>
      <c r="D2315" s="936"/>
      <c r="E2315" s="936"/>
      <c r="AH2315" s="983"/>
      <c r="AI2315" s="983"/>
      <c r="AJ2315" s="968"/>
      <c r="AL2315" s="937"/>
    </row>
    <row r="2316" spans="2:38" s="930" customFormat="1" ht="20.25" customHeight="1" x14ac:dyDescent="0.2">
      <c r="B2316" s="936"/>
      <c r="C2316" s="936"/>
      <c r="D2316" s="936"/>
      <c r="E2316" s="936"/>
      <c r="AH2316" s="983"/>
      <c r="AI2316" s="983"/>
      <c r="AJ2316" s="968"/>
      <c r="AL2316" s="937"/>
    </row>
    <row r="2317" spans="2:38" s="930" customFormat="1" ht="20.25" customHeight="1" x14ac:dyDescent="0.2">
      <c r="B2317" s="936"/>
      <c r="C2317" s="936"/>
      <c r="D2317" s="936"/>
      <c r="E2317" s="936"/>
      <c r="AH2317" s="983"/>
      <c r="AI2317" s="983"/>
      <c r="AJ2317" s="968"/>
      <c r="AL2317" s="937"/>
    </row>
    <row r="2318" spans="2:38" s="930" customFormat="1" ht="20.25" customHeight="1" x14ac:dyDescent="0.2">
      <c r="B2318" s="936"/>
      <c r="C2318" s="936"/>
      <c r="D2318" s="936"/>
      <c r="E2318" s="936"/>
      <c r="AH2318" s="983"/>
      <c r="AI2318" s="983"/>
      <c r="AJ2318" s="968"/>
      <c r="AL2318" s="937"/>
    </row>
    <row r="2319" spans="2:38" s="930" customFormat="1" ht="20.25" customHeight="1" x14ac:dyDescent="0.2">
      <c r="B2319" s="936"/>
      <c r="C2319" s="936"/>
      <c r="D2319" s="936"/>
      <c r="E2319" s="936"/>
      <c r="AH2319" s="983"/>
      <c r="AI2319" s="983"/>
      <c r="AJ2319" s="968"/>
      <c r="AL2319" s="937"/>
    </row>
    <row r="2320" spans="2:38" s="930" customFormat="1" ht="20.25" customHeight="1" x14ac:dyDescent="0.2">
      <c r="B2320" s="936"/>
      <c r="C2320" s="936"/>
      <c r="D2320" s="936"/>
      <c r="E2320" s="936"/>
      <c r="AH2320" s="983"/>
      <c r="AI2320" s="983"/>
      <c r="AJ2320" s="968"/>
      <c r="AL2320" s="937"/>
    </row>
    <row r="2321" spans="2:38" s="930" customFormat="1" ht="20.25" customHeight="1" x14ac:dyDescent="0.2">
      <c r="B2321" s="936"/>
      <c r="C2321" s="936"/>
      <c r="D2321" s="936"/>
      <c r="E2321" s="936"/>
      <c r="AH2321" s="983"/>
      <c r="AI2321" s="983"/>
      <c r="AJ2321" s="968"/>
      <c r="AL2321" s="937"/>
    </row>
    <row r="2322" spans="2:38" s="930" customFormat="1" ht="20.25" customHeight="1" x14ac:dyDescent="0.2">
      <c r="B2322" s="936"/>
      <c r="C2322" s="936"/>
      <c r="D2322" s="936"/>
      <c r="E2322" s="936"/>
      <c r="AH2322" s="983"/>
      <c r="AI2322" s="983"/>
      <c r="AJ2322" s="968"/>
      <c r="AL2322" s="937"/>
    </row>
    <row r="2323" spans="2:38" s="930" customFormat="1" ht="20.25" customHeight="1" x14ac:dyDescent="0.2">
      <c r="B2323" s="936"/>
      <c r="C2323" s="936"/>
      <c r="D2323" s="936"/>
      <c r="E2323" s="936"/>
      <c r="AH2323" s="983"/>
      <c r="AI2323" s="983"/>
      <c r="AJ2323" s="968"/>
      <c r="AL2323" s="937"/>
    </row>
    <row r="2324" spans="2:38" s="930" customFormat="1" ht="20.25" customHeight="1" x14ac:dyDescent="0.2">
      <c r="B2324" s="936"/>
      <c r="C2324" s="936"/>
      <c r="D2324" s="936"/>
      <c r="E2324" s="936"/>
      <c r="AH2324" s="983"/>
      <c r="AI2324" s="983"/>
      <c r="AJ2324" s="968"/>
      <c r="AL2324" s="937"/>
    </row>
    <row r="2325" spans="2:38" s="930" customFormat="1" ht="20.25" customHeight="1" x14ac:dyDescent="0.2">
      <c r="B2325" s="936"/>
      <c r="C2325" s="936"/>
      <c r="D2325" s="936"/>
      <c r="E2325" s="936"/>
      <c r="AH2325" s="983"/>
      <c r="AI2325" s="983"/>
      <c r="AJ2325" s="968"/>
      <c r="AL2325" s="937"/>
    </row>
    <row r="2326" spans="2:38" s="930" customFormat="1" ht="20.25" customHeight="1" x14ac:dyDescent="0.2">
      <c r="B2326" s="936"/>
      <c r="C2326" s="936"/>
      <c r="D2326" s="936"/>
      <c r="E2326" s="936"/>
      <c r="AH2326" s="983"/>
      <c r="AI2326" s="983"/>
      <c r="AJ2326" s="968"/>
      <c r="AL2326" s="937"/>
    </row>
    <row r="2327" spans="2:38" s="930" customFormat="1" ht="20.25" customHeight="1" x14ac:dyDescent="0.2">
      <c r="B2327" s="936"/>
      <c r="C2327" s="936"/>
      <c r="D2327" s="936"/>
      <c r="E2327" s="936"/>
      <c r="AH2327" s="983"/>
      <c r="AI2327" s="983"/>
      <c r="AJ2327" s="968"/>
      <c r="AL2327" s="937"/>
    </row>
    <row r="2328" spans="2:38" s="930" customFormat="1" ht="20.25" customHeight="1" x14ac:dyDescent="0.2">
      <c r="B2328" s="936"/>
      <c r="C2328" s="936"/>
      <c r="D2328" s="936"/>
      <c r="E2328" s="936"/>
      <c r="AH2328" s="983"/>
      <c r="AI2328" s="983"/>
      <c r="AJ2328" s="968"/>
      <c r="AL2328" s="937"/>
    </row>
    <row r="2329" spans="2:38" s="930" customFormat="1" ht="20.25" customHeight="1" x14ac:dyDescent="0.2">
      <c r="B2329" s="936"/>
      <c r="C2329" s="936"/>
      <c r="D2329" s="936"/>
      <c r="E2329" s="936"/>
      <c r="AH2329" s="983"/>
      <c r="AI2329" s="983"/>
      <c r="AJ2329" s="968"/>
      <c r="AL2329" s="937"/>
    </row>
    <row r="2330" spans="2:38" s="930" customFormat="1" ht="20.25" customHeight="1" x14ac:dyDescent="0.2">
      <c r="B2330" s="936"/>
      <c r="C2330" s="936"/>
      <c r="D2330" s="936"/>
      <c r="E2330" s="936"/>
      <c r="AH2330" s="983"/>
      <c r="AI2330" s="983"/>
      <c r="AJ2330" s="968"/>
      <c r="AL2330" s="937"/>
    </row>
    <row r="2331" spans="2:38" s="930" customFormat="1" ht="20.25" customHeight="1" x14ac:dyDescent="0.2">
      <c r="B2331" s="936"/>
      <c r="C2331" s="936"/>
      <c r="D2331" s="936"/>
      <c r="E2331" s="936"/>
      <c r="AH2331" s="983"/>
      <c r="AI2331" s="983"/>
      <c r="AJ2331" s="968"/>
      <c r="AL2331" s="937"/>
    </row>
    <row r="2332" spans="2:38" s="930" customFormat="1" ht="20.25" customHeight="1" x14ac:dyDescent="0.2">
      <c r="B2332" s="936"/>
      <c r="C2332" s="936"/>
      <c r="D2332" s="936"/>
      <c r="E2332" s="936"/>
      <c r="AH2332" s="983"/>
      <c r="AI2332" s="983"/>
      <c r="AJ2332" s="968"/>
      <c r="AL2332" s="937"/>
    </row>
    <row r="2333" spans="2:38" s="930" customFormat="1" ht="20.25" customHeight="1" x14ac:dyDescent="0.2">
      <c r="B2333" s="936"/>
      <c r="C2333" s="936"/>
      <c r="D2333" s="936"/>
      <c r="E2333" s="936"/>
      <c r="AH2333" s="983"/>
      <c r="AI2333" s="983"/>
      <c r="AJ2333" s="968"/>
      <c r="AL2333" s="937"/>
    </row>
    <row r="2334" spans="2:38" s="930" customFormat="1" ht="20.25" customHeight="1" x14ac:dyDescent="0.2">
      <c r="B2334" s="936"/>
      <c r="C2334" s="936"/>
      <c r="D2334" s="936"/>
      <c r="E2334" s="936"/>
      <c r="AH2334" s="983"/>
      <c r="AI2334" s="983"/>
      <c r="AJ2334" s="968"/>
      <c r="AL2334" s="937"/>
    </row>
    <row r="2335" spans="2:38" s="930" customFormat="1" ht="20.25" customHeight="1" x14ac:dyDescent="0.2">
      <c r="B2335" s="936"/>
      <c r="C2335" s="936"/>
      <c r="D2335" s="936"/>
      <c r="E2335" s="936"/>
      <c r="AH2335" s="983"/>
      <c r="AI2335" s="983"/>
      <c r="AJ2335" s="968"/>
      <c r="AL2335" s="937"/>
    </row>
    <row r="2336" spans="2:38" s="930" customFormat="1" ht="20.25" customHeight="1" x14ac:dyDescent="0.2">
      <c r="B2336" s="936"/>
      <c r="C2336" s="936"/>
      <c r="D2336" s="936"/>
      <c r="E2336" s="936"/>
      <c r="AH2336" s="983"/>
      <c r="AI2336" s="983"/>
      <c r="AJ2336" s="968"/>
      <c r="AL2336" s="937"/>
    </row>
    <row r="2337" spans="2:38" s="930" customFormat="1" ht="20.25" customHeight="1" x14ac:dyDescent="0.2">
      <c r="B2337" s="936"/>
      <c r="C2337" s="936"/>
      <c r="D2337" s="936"/>
      <c r="E2337" s="936"/>
      <c r="AH2337" s="983"/>
      <c r="AI2337" s="983"/>
      <c r="AJ2337" s="968"/>
      <c r="AL2337" s="937"/>
    </row>
    <row r="2338" spans="2:38" s="930" customFormat="1" ht="20.25" customHeight="1" x14ac:dyDescent="0.2">
      <c r="B2338" s="936"/>
      <c r="C2338" s="936"/>
      <c r="D2338" s="936"/>
      <c r="E2338" s="936"/>
      <c r="AH2338" s="983"/>
      <c r="AI2338" s="983"/>
      <c r="AJ2338" s="968"/>
      <c r="AL2338" s="937"/>
    </row>
    <row r="2339" spans="2:38" s="930" customFormat="1" ht="20.25" customHeight="1" x14ac:dyDescent="0.2">
      <c r="B2339" s="936"/>
      <c r="C2339" s="936"/>
      <c r="D2339" s="936"/>
      <c r="E2339" s="936"/>
      <c r="AH2339" s="983"/>
      <c r="AI2339" s="983"/>
      <c r="AJ2339" s="968"/>
      <c r="AL2339" s="937"/>
    </row>
    <row r="2340" spans="2:38" s="930" customFormat="1" ht="20.25" customHeight="1" x14ac:dyDescent="0.2">
      <c r="B2340" s="936"/>
      <c r="C2340" s="936"/>
      <c r="D2340" s="936"/>
      <c r="E2340" s="936"/>
      <c r="AH2340" s="983"/>
      <c r="AI2340" s="983"/>
      <c r="AJ2340" s="968"/>
      <c r="AL2340" s="937"/>
    </row>
    <row r="2341" spans="2:38" s="930" customFormat="1" ht="20.25" customHeight="1" x14ac:dyDescent="0.2">
      <c r="B2341" s="936"/>
      <c r="C2341" s="936"/>
      <c r="D2341" s="936"/>
      <c r="E2341" s="936"/>
      <c r="AH2341" s="983"/>
      <c r="AI2341" s="983"/>
      <c r="AJ2341" s="968"/>
      <c r="AL2341" s="937"/>
    </row>
    <row r="2342" spans="2:38" s="930" customFormat="1" ht="20.25" customHeight="1" x14ac:dyDescent="0.2">
      <c r="B2342" s="936"/>
      <c r="C2342" s="936"/>
      <c r="D2342" s="936"/>
      <c r="E2342" s="936"/>
      <c r="AH2342" s="983"/>
      <c r="AI2342" s="983"/>
      <c r="AJ2342" s="968"/>
      <c r="AL2342" s="937"/>
    </row>
    <row r="2343" spans="2:38" s="930" customFormat="1" ht="20.25" customHeight="1" x14ac:dyDescent="0.2">
      <c r="B2343" s="936"/>
      <c r="C2343" s="936"/>
      <c r="D2343" s="936"/>
      <c r="E2343" s="936"/>
      <c r="AH2343" s="983"/>
      <c r="AI2343" s="983"/>
      <c r="AJ2343" s="968"/>
      <c r="AL2343" s="937"/>
    </row>
    <row r="2344" spans="2:38" s="930" customFormat="1" ht="20.25" customHeight="1" x14ac:dyDescent="0.2">
      <c r="B2344" s="936"/>
      <c r="C2344" s="936"/>
      <c r="D2344" s="936"/>
      <c r="E2344" s="936"/>
      <c r="AH2344" s="983"/>
      <c r="AI2344" s="983"/>
      <c r="AJ2344" s="968"/>
      <c r="AL2344" s="937"/>
    </row>
    <row r="2345" spans="2:38" s="930" customFormat="1" ht="20.25" customHeight="1" x14ac:dyDescent="0.2">
      <c r="B2345" s="936"/>
      <c r="C2345" s="936"/>
      <c r="D2345" s="936"/>
      <c r="E2345" s="936"/>
      <c r="AH2345" s="983"/>
      <c r="AI2345" s="983"/>
      <c r="AJ2345" s="968"/>
      <c r="AL2345" s="937"/>
    </row>
    <row r="2346" spans="2:38" s="930" customFormat="1" ht="20.25" customHeight="1" x14ac:dyDescent="0.2">
      <c r="B2346" s="936"/>
      <c r="C2346" s="936"/>
      <c r="D2346" s="936"/>
      <c r="E2346" s="936"/>
      <c r="AH2346" s="983"/>
      <c r="AI2346" s="983"/>
      <c r="AJ2346" s="968"/>
      <c r="AL2346" s="937"/>
    </row>
    <row r="2347" spans="2:38" s="930" customFormat="1" ht="20.25" customHeight="1" x14ac:dyDescent="0.2">
      <c r="B2347" s="936"/>
      <c r="C2347" s="936"/>
      <c r="D2347" s="936"/>
      <c r="E2347" s="936"/>
      <c r="AH2347" s="983"/>
      <c r="AI2347" s="983"/>
      <c r="AJ2347" s="968"/>
      <c r="AL2347" s="937"/>
    </row>
    <row r="2348" spans="2:38" s="930" customFormat="1" ht="20.25" customHeight="1" x14ac:dyDescent="0.2">
      <c r="B2348" s="936"/>
      <c r="C2348" s="936"/>
      <c r="D2348" s="936"/>
      <c r="E2348" s="936"/>
      <c r="AH2348" s="983"/>
      <c r="AI2348" s="983"/>
      <c r="AJ2348" s="968"/>
      <c r="AL2348" s="937"/>
    </row>
    <row r="2349" spans="2:38" s="930" customFormat="1" ht="20.25" customHeight="1" x14ac:dyDescent="0.2">
      <c r="B2349" s="936"/>
      <c r="C2349" s="936"/>
      <c r="D2349" s="936"/>
      <c r="E2349" s="936"/>
      <c r="AH2349" s="983"/>
      <c r="AI2349" s="983"/>
      <c r="AJ2349" s="968"/>
      <c r="AL2349" s="937"/>
    </row>
    <row r="2350" spans="2:38" s="930" customFormat="1" ht="20.25" customHeight="1" x14ac:dyDescent="0.2">
      <c r="B2350" s="936"/>
      <c r="C2350" s="936"/>
      <c r="D2350" s="936"/>
      <c r="E2350" s="936"/>
      <c r="AH2350" s="983"/>
      <c r="AI2350" s="983"/>
      <c r="AJ2350" s="968"/>
      <c r="AL2350" s="937"/>
    </row>
    <row r="2351" spans="2:38" s="930" customFormat="1" ht="20.25" customHeight="1" x14ac:dyDescent="0.2">
      <c r="B2351" s="936"/>
      <c r="C2351" s="936"/>
      <c r="D2351" s="936"/>
      <c r="E2351" s="936"/>
      <c r="AH2351" s="983"/>
      <c r="AI2351" s="983"/>
      <c r="AJ2351" s="968"/>
      <c r="AL2351" s="937"/>
    </row>
    <row r="2352" spans="2:38" s="930" customFormat="1" ht="20.25" customHeight="1" x14ac:dyDescent="0.2">
      <c r="B2352" s="936"/>
      <c r="C2352" s="936"/>
      <c r="D2352" s="936"/>
      <c r="E2352" s="936"/>
      <c r="AH2352" s="983"/>
      <c r="AI2352" s="983"/>
      <c r="AJ2352" s="968"/>
      <c r="AL2352" s="937"/>
    </row>
    <row r="2353" spans="2:38" s="930" customFormat="1" ht="20.25" customHeight="1" x14ac:dyDescent="0.2">
      <c r="B2353" s="936"/>
      <c r="C2353" s="936"/>
      <c r="D2353" s="936"/>
      <c r="E2353" s="936"/>
      <c r="AH2353" s="983"/>
      <c r="AI2353" s="983"/>
      <c r="AJ2353" s="968"/>
      <c r="AL2353" s="937"/>
    </row>
    <row r="2354" spans="2:38" s="930" customFormat="1" ht="20.25" customHeight="1" x14ac:dyDescent="0.2">
      <c r="B2354" s="936"/>
      <c r="C2354" s="936"/>
      <c r="D2354" s="936"/>
      <c r="E2354" s="936"/>
      <c r="AH2354" s="983"/>
      <c r="AI2354" s="983"/>
      <c r="AJ2354" s="968"/>
      <c r="AL2354" s="937"/>
    </row>
    <row r="2355" spans="2:38" s="930" customFormat="1" ht="20.25" customHeight="1" x14ac:dyDescent="0.2">
      <c r="B2355" s="936"/>
      <c r="C2355" s="936"/>
      <c r="D2355" s="936"/>
      <c r="E2355" s="936"/>
      <c r="AH2355" s="983"/>
      <c r="AI2355" s="983"/>
      <c r="AJ2355" s="968"/>
      <c r="AL2355" s="937"/>
    </row>
    <row r="2356" spans="2:38" s="930" customFormat="1" ht="20.25" customHeight="1" x14ac:dyDescent="0.2">
      <c r="B2356" s="936"/>
      <c r="C2356" s="936"/>
      <c r="D2356" s="936"/>
      <c r="E2356" s="936"/>
      <c r="AH2356" s="983"/>
      <c r="AI2356" s="983"/>
      <c r="AJ2356" s="968"/>
      <c r="AL2356" s="937"/>
    </row>
    <row r="2357" spans="2:38" s="930" customFormat="1" ht="20.25" customHeight="1" x14ac:dyDescent="0.2">
      <c r="B2357" s="936"/>
      <c r="C2357" s="936"/>
      <c r="D2357" s="936"/>
      <c r="E2357" s="936"/>
      <c r="AH2357" s="983"/>
      <c r="AI2357" s="983"/>
      <c r="AJ2357" s="968"/>
      <c r="AL2357" s="937"/>
    </row>
    <row r="2358" spans="2:38" s="930" customFormat="1" ht="20.25" customHeight="1" x14ac:dyDescent="0.2">
      <c r="B2358" s="936"/>
      <c r="C2358" s="936"/>
      <c r="D2358" s="936"/>
      <c r="E2358" s="936"/>
      <c r="AH2358" s="983"/>
      <c r="AI2358" s="983"/>
      <c r="AJ2358" s="968"/>
      <c r="AL2358" s="937"/>
    </row>
    <row r="2359" spans="2:38" s="930" customFormat="1" ht="20.25" customHeight="1" x14ac:dyDescent="0.2">
      <c r="B2359" s="936"/>
      <c r="C2359" s="936"/>
      <c r="D2359" s="936"/>
      <c r="E2359" s="936"/>
      <c r="AH2359" s="983"/>
      <c r="AI2359" s="983"/>
      <c r="AJ2359" s="968"/>
      <c r="AL2359" s="937"/>
    </row>
    <row r="2360" spans="2:38" s="930" customFormat="1" ht="20.25" customHeight="1" x14ac:dyDescent="0.2">
      <c r="B2360" s="936"/>
      <c r="C2360" s="936"/>
      <c r="D2360" s="936"/>
      <c r="E2360" s="936"/>
      <c r="AH2360" s="983"/>
      <c r="AI2360" s="983"/>
      <c r="AJ2360" s="968"/>
      <c r="AL2360" s="937"/>
    </row>
    <row r="2361" spans="2:38" s="930" customFormat="1" ht="20.25" customHeight="1" x14ac:dyDescent="0.2">
      <c r="B2361" s="936"/>
      <c r="C2361" s="936"/>
      <c r="D2361" s="936"/>
      <c r="E2361" s="936"/>
      <c r="AH2361" s="983"/>
      <c r="AI2361" s="983"/>
      <c r="AJ2361" s="968"/>
      <c r="AL2361" s="937"/>
    </row>
    <row r="2362" spans="2:38" s="930" customFormat="1" ht="20.25" customHeight="1" x14ac:dyDescent="0.2">
      <c r="B2362" s="936"/>
      <c r="C2362" s="936"/>
      <c r="D2362" s="936"/>
      <c r="E2362" s="936"/>
      <c r="AH2362" s="983"/>
      <c r="AI2362" s="983"/>
      <c r="AJ2362" s="968"/>
      <c r="AL2362" s="937"/>
    </row>
    <row r="2363" spans="2:38" s="930" customFormat="1" ht="20.25" customHeight="1" x14ac:dyDescent="0.2">
      <c r="B2363" s="936"/>
      <c r="C2363" s="936"/>
      <c r="D2363" s="936"/>
      <c r="E2363" s="936"/>
      <c r="AH2363" s="983"/>
      <c r="AI2363" s="983"/>
      <c r="AJ2363" s="968"/>
      <c r="AL2363" s="937"/>
    </row>
    <row r="2364" spans="2:38" s="930" customFormat="1" ht="20.25" customHeight="1" x14ac:dyDescent="0.2">
      <c r="B2364" s="936"/>
      <c r="C2364" s="936"/>
      <c r="D2364" s="936"/>
      <c r="E2364" s="936"/>
      <c r="AH2364" s="983"/>
      <c r="AI2364" s="983"/>
      <c r="AJ2364" s="968"/>
      <c r="AL2364" s="937"/>
    </row>
    <row r="2365" spans="2:38" s="930" customFormat="1" ht="20.25" customHeight="1" x14ac:dyDescent="0.2">
      <c r="B2365" s="936"/>
      <c r="C2365" s="936"/>
      <c r="D2365" s="936"/>
      <c r="E2365" s="936"/>
      <c r="AH2365" s="983"/>
      <c r="AI2365" s="983"/>
      <c r="AJ2365" s="968"/>
      <c r="AL2365" s="937"/>
    </row>
    <row r="2366" spans="2:38" s="930" customFormat="1" ht="20.25" customHeight="1" x14ac:dyDescent="0.2">
      <c r="B2366" s="936"/>
      <c r="C2366" s="936"/>
      <c r="D2366" s="936"/>
      <c r="E2366" s="936"/>
      <c r="AH2366" s="983"/>
      <c r="AI2366" s="983"/>
      <c r="AJ2366" s="968"/>
      <c r="AL2366" s="937"/>
    </row>
    <row r="2367" spans="2:38" s="930" customFormat="1" ht="20.25" customHeight="1" x14ac:dyDescent="0.2">
      <c r="B2367" s="936"/>
      <c r="C2367" s="936"/>
      <c r="D2367" s="936"/>
      <c r="E2367" s="936"/>
      <c r="AH2367" s="983"/>
      <c r="AI2367" s="983"/>
      <c r="AJ2367" s="968"/>
      <c r="AL2367" s="937"/>
    </row>
    <row r="2368" spans="2:38" s="930" customFormat="1" ht="20.25" customHeight="1" x14ac:dyDescent="0.2">
      <c r="B2368" s="936"/>
      <c r="C2368" s="936"/>
      <c r="D2368" s="936"/>
      <c r="E2368" s="936"/>
      <c r="AH2368" s="983"/>
      <c r="AI2368" s="983"/>
      <c r="AJ2368" s="968"/>
      <c r="AL2368" s="937"/>
    </row>
    <row r="2369" spans="2:38" s="930" customFormat="1" ht="20.25" customHeight="1" x14ac:dyDescent="0.2">
      <c r="B2369" s="936"/>
      <c r="C2369" s="936"/>
      <c r="D2369" s="936"/>
      <c r="E2369" s="936"/>
      <c r="AH2369" s="983"/>
      <c r="AI2369" s="983"/>
      <c r="AJ2369" s="968"/>
      <c r="AL2369" s="937"/>
    </row>
    <row r="2370" spans="2:38" s="930" customFormat="1" ht="20.25" customHeight="1" x14ac:dyDescent="0.2">
      <c r="B2370" s="936"/>
      <c r="C2370" s="936"/>
      <c r="D2370" s="936"/>
      <c r="E2370" s="936"/>
      <c r="AH2370" s="983"/>
      <c r="AI2370" s="983"/>
      <c r="AJ2370" s="968"/>
      <c r="AL2370" s="937"/>
    </row>
    <row r="2371" spans="2:38" s="930" customFormat="1" ht="20.25" customHeight="1" x14ac:dyDescent="0.2">
      <c r="B2371" s="936"/>
      <c r="C2371" s="936"/>
      <c r="D2371" s="936"/>
      <c r="E2371" s="936"/>
      <c r="AH2371" s="983"/>
      <c r="AI2371" s="983"/>
      <c r="AJ2371" s="968"/>
      <c r="AL2371" s="937"/>
    </row>
    <row r="2372" spans="2:38" s="930" customFormat="1" ht="20.25" customHeight="1" x14ac:dyDescent="0.2">
      <c r="B2372" s="936"/>
      <c r="C2372" s="936"/>
      <c r="D2372" s="936"/>
      <c r="E2372" s="936"/>
      <c r="AH2372" s="983"/>
      <c r="AI2372" s="983"/>
      <c r="AJ2372" s="968"/>
      <c r="AL2372" s="937"/>
    </row>
    <row r="2373" spans="2:38" s="930" customFormat="1" ht="20.25" customHeight="1" x14ac:dyDescent="0.2">
      <c r="B2373" s="936"/>
      <c r="C2373" s="936"/>
      <c r="D2373" s="936"/>
      <c r="E2373" s="936"/>
      <c r="AH2373" s="983"/>
      <c r="AI2373" s="983"/>
      <c r="AJ2373" s="968"/>
      <c r="AL2373" s="937"/>
    </row>
    <row r="2374" spans="2:38" s="930" customFormat="1" ht="20.25" customHeight="1" x14ac:dyDescent="0.2">
      <c r="B2374" s="936"/>
      <c r="C2374" s="936"/>
      <c r="D2374" s="936"/>
      <c r="E2374" s="936"/>
      <c r="AH2374" s="983"/>
      <c r="AI2374" s="983"/>
      <c r="AJ2374" s="968"/>
      <c r="AL2374" s="937"/>
    </row>
    <row r="2375" spans="2:38" s="930" customFormat="1" ht="20.25" customHeight="1" x14ac:dyDescent="0.2">
      <c r="B2375" s="936"/>
      <c r="C2375" s="936"/>
      <c r="D2375" s="936"/>
      <c r="E2375" s="936"/>
      <c r="AH2375" s="983"/>
      <c r="AI2375" s="983"/>
      <c r="AJ2375" s="968"/>
      <c r="AL2375" s="937"/>
    </row>
    <row r="2376" spans="2:38" s="930" customFormat="1" ht="20.25" customHeight="1" x14ac:dyDescent="0.2">
      <c r="B2376" s="936"/>
      <c r="C2376" s="936"/>
      <c r="D2376" s="936"/>
      <c r="E2376" s="936"/>
      <c r="AH2376" s="983"/>
      <c r="AI2376" s="983"/>
      <c r="AJ2376" s="968"/>
      <c r="AL2376" s="937"/>
    </row>
    <row r="2377" spans="2:38" s="930" customFormat="1" ht="20.25" customHeight="1" x14ac:dyDescent="0.2">
      <c r="B2377" s="936"/>
      <c r="C2377" s="936"/>
      <c r="D2377" s="936"/>
      <c r="E2377" s="936"/>
      <c r="AH2377" s="983"/>
      <c r="AI2377" s="983"/>
      <c r="AJ2377" s="968"/>
      <c r="AL2377" s="937"/>
    </row>
    <row r="2378" spans="2:38" s="930" customFormat="1" ht="20.25" customHeight="1" x14ac:dyDescent="0.2">
      <c r="B2378" s="936"/>
      <c r="C2378" s="936"/>
      <c r="D2378" s="936"/>
      <c r="E2378" s="936"/>
      <c r="AH2378" s="983"/>
      <c r="AI2378" s="983"/>
      <c r="AJ2378" s="968"/>
      <c r="AL2378" s="937"/>
    </row>
    <row r="2379" spans="2:38" s="930" customFormat="1" ht="20.25" customHeight="1" x14ac:dyDescent="0.2">
      <c r="B2379" s="936"/>
      <c r="C2379" s="936"/>
      <c r="D2379" s="936"/>
      <c r="E2379" s="936"/>
      <c r="AH2379" s="983"/>
      <c r="AI2379" s="983"/>
      <c r="AJ2379" s="968"/>
      <c r="AL2379" s="937"/>
    </row>
    <row r="2380" spans="2:38" s="930" customFormat="1" ht="20.25" customHeight="1" x14ac:dyDescent="0.2">
      <c r="B2380" s="936"/>
      <c r="C2380" s="936"/>
      <c r="D2380" s="936"/>
      <c r="E2380" s="936"/>
      <c r="AH2380" s="983"/>
      <c r="AI2380" s="983"/>
      <c r="AJ2380" s="968"/>
      <c r="AL2380" s="937"/>
    </row>
    <row r="2381" spans="2:38" s="930" customFormat="1" ht="20.25" customHeight="1" x14ac:dyDescent="0.2">
      <c r="B2381" s="936"/>
      <c r="C2381" s="936"/>
      <c r="D2381" s="936"/>
      <c r="E2381" s="936"/>
      <c r="AH2381" s="983"/>
      <c r="AI2381" s="983"/>
      <c r="AJ2381" s="968"/>
      <c r="AL2381" s="937"/>
    </row>
    <row r="2382" spans="2:38" s="930" customFormat="1" ht="20.25" customHeight="1" x14ac:dyDescent="0.2">
      <c r="B2382" s="936"/>
      <c r="C2382" s="936"/>
      <c r="D2382" s="936"/>
      <c r="E2382" s="936"/>
      <c r="AH2382" s="983"/>
      <c r="AI2382" s="983"/>
      <c r="AJ2382" s="968"/>
      <c r="AL2382" s="937"/>
    </row>
    <row r="2383" spans="2:38" s="930" customFormat="1" ht="20.25" customHeight="1" x14ac:dyDescent="0.2">
      <c r="B2383" s="936"/>
      <c r="C2383" s="936"/>
      <c r="D2383" s="936"/>
      <c r="E2383" s="936"/>
      <c r="AH2383" s="983"/>
      <c r="AI2383" s="983"/>
      <c r="AJ2383" s="968"/>
      <c r="AL2383" s="937"/>
    </row>
    <row r="2384" spans="2:38" s="930" customFormat="1" ht="20.25" customHeight="1" x14ac:dyDescent="0.2">
      <c r="B2384" s="936"/>
      <c r="C2384" s="936"/>
      <c r="D2384" s="936"/>
      <c r="E2384" s="936"/>
      <c r="AH2384" s="983"/>
      <c r="AI2384" s="983"/>
      <c r="AJ2384" s="968"/>
      <c r="AL2384" s="937"/>
    </row>
    <row r="2385" spans="2:38" s="930" customFormat="1" ht="20.25" customHeight="1" x14ac:dyDescent="0.2">
      <c r="B2385" s="936"/>
      <c r="C2385" s="936"/>
      <c r="D2385" s="936"/>
      <c r="E2385" s="936"/>
      <c r="AH2385" s="983"/>
      <c r="AI2385" s="983"/>
      <c r="AJ2385" s="968"/>
      <c r="AL2385" s="937"/>
    </row>
    <row r="2386" spans="2:38" s="930" customFormat="1" ht="20.25" customHeight="1" x14ac:dyDescent="0.2">
      <c r="B2386" s="936"/>
      <c r="C2386" s="936"/>
      <c r="D2386" s="936"/>
      <c r="E2386" s="936"/>
      <c r="AH2386" s="983"/>
      <c r="AI2386" s="983"/>
      <c r="AJ2386" s="968"/>
      <c r="AL2386" s="937"/>
    </row>
    <row r="2387" spans="2:38" s="930" customFormat="1" ht="20.25" customHeight="1" x14ac:dyDescent="0.2">
      <c r="B2387" s="936"/>
      <c r="C2387" s="936"/>
      <c r="D2387" s="936"/>
      <c r="E2387" s="936"/>
      <c r="AH2387" s="983"/>
      <c r="AI2387" s="983"/>
      <c r="AJ2387" s="968"/>
      <c r="AL2387" s="937"/>
    </row>
    <row r="2388" spans="2:38" s="930" customFormat="1" ht="20.25" customHeight="1" x14ac:dyDescent="0.2">
      <c r="B2388" s="936"/>
      <c r="C2388" s="936"/>
      <c r="D2388" s="936"/>
      <c r="E2388" s="936"/>
      <c r="AH2388" s="983"/>
      <c r="AI2388" s="983"/>
      <c r="AJ2388" s="968"/>
      <c r="AL2388" s="937"/>
    </row>
    <row r="2389" spans="2:38" s="930" customFormat="1" ht="20.25" customHeight="1" x14ac:dyDescent="0.2">
      <c r="B2389" s="936"/>
      <c r="C2389" s="936"/>
      <c r="D2389" s="936"/>
      <c r="E2389" s="936"/>
      <c r="AH2389" s="983"/>
      <c r="AI2389" s="983"/>
      <c r="AJ2389" s="968"/>
      <c r="AL2389" s="937"/>
    </row>
    <row r="2390" spans="2:38" s="930" customFormat="1" ht="20.25" customHeight="1" x14ac:dyDescent="0.2">
      <c r="B2390" s="936"/>
      <c r="C2390" s="936"/>
      <c r="D2390" s="936"/>
      <c r="E2390" s="936"/>
      <c r="AH2390" s="983"/>
      <c r="AI2390" s="983"/>
      <c r="AJ2390" s="968"/>
      <c r="AL2390" s="937"/>
    </row>
    <row r="2391" spans="2:38" s="930" customFormat="1" ht="20.25" customHeight="1" x14ac:dyDescent="0.2">
      <c r="B2391" s="936"/>
      <c r="C2391" s="936"/>
      <c r="D2391" s="936"/>
      <c r="E2391" s="936"/>
      <c r="AH2391" s="983"/>
      <c r="AI2391" s="983"/>
      <c r="AJ2391" s="968"/>
      <c r="AL2391" s="937"/>
    </row>
    <row r="2392" spans="2:38" s="930" customFormat="1" ht="20.25" customHeight="1" x14ac:dyDescent="0.2">
      <c r="B2392" s="936"/>
      <c r="C2392" s="936"/>
      <c r="D2392" s="936"/>
      <c r="E2392" s="936"/>
      <c r="AH2392" s="983"/>
      <c r="AI2392" s="983"/>
      <c r="AJ2392" s="968"/>
      <c r="AL2392" s="937"/>
    </row>
    <row r="2393" spans="2:38" s="930" customFormat="1" ht="20.25" customHeight="1" x14ac:dyDescent="0.2">
      <c r="B2393" s="936"/>
      <c r="C2393" s="936"/>
      <c r="D2393" s="936"/>
      <c r="E2393" s="936"/>
      <c r="AH2393" s="983"/>
      <c r="AI2393" s="983"/>
      <c r="AJ2393" s="968"/>
      <c r="AL2393" s="937"/>
    </row>
    <row r="2394" spans="2:38" s="930" customFormat="1" ht="20.25" customHeight="1" x14ac:dyDescent="0.2">
      <c r="B2394" s="936"/>
      <c r="C2394" s="936"/>
      <c r="D2394" s="936"/>
      <c r="E2394" s="936"/>
      <c r="AH2394" s="983"/>
      <c r="AI2394" s="983"/>
      <c r="AJ2394" s="968"/>
      <c r="AL2394" s="937"/>
    </row>
    <row r="2395" spans="2:38" s="930" customFormat="1" ht="20.25" customHeight="1" x14ac:dyDescent="0.2">
      <c r="B2395" s="936"/>
      <c r="C2395" s="936"/>
      <c r="D2395" s="936"/>
      <c r="E2395" s="936"/>
      <c r="AH2395" s="983"/>
      <c r="AI2395" s="983"/>
      <c r="AJ2395" s="968"/>
      <c r="AL2395" s="937"/>
    </row>
    <row r="2396" spans="2:38" s="930" customFormat="1" ht="20.25" customHeight="1" x14ac:dyDescent="0.2">
      <c r="B2396" s="936"/>
      <c r="C2396" s="936"/>
      <c r="D2396" s="936"/>
      <c r="E2396" s="936"/>
      <c r="AH2396" s="983"/>
      <c r="AI2396" s="983"/>
      <c r="AJ2396" s="968"/>
      <c r="AL2396" s="937"/>
    </row>
    <row r="2397" spans="2:38" s="930" customFormat="1" ht="20.25" customHeight="1" x14ac:dyDescent="0.2">
      <c r="B2397" s="936"/>
      <c r="C2397" s="936"/>
      <c r="D2397" s="936"/>
      <c r="E2397" s="936"/>
      <c r="AH2397" s="983"/>
      <c r="AI2397" s="983"/>
      <c r="AJ2397" s="968"/>
      <c r="AL2397" s="937"/>
    </row>
    <row r="2398" spans="2:38" s="930" customFormat="1" ht="20.25" customHeight="1" x14ac:dyDescent="0.2">
      <c r="B2398" s="936"/>
      <c r="C2398" s="936"/>
      <c r="D2398" s="936"/>
      <c r="E2398" s="936"/>
      <c r="AH2398" s="983"/>
      <c r="AI2398" s="983"/>
      <c r="AJ2398" s="968"/>
      <c r="AL2398" s="937"/>
    </row>
    <row r="2399" spans="2:38" s="930" customFormat="1" ht="20.25" customHeight="1" x14ac:dyDescent="0.2">
      <c r="B2399" s="936"/>
      <c r="C2399" s="936"/>
      <c r="D2399" s="936"/>
      <c r="E2399" s="936"/>
      <c r="AH2399" s="983"/>
      <c r="AI2399" s="983"/>
      <c r="AJ2399" s="968"/>
      <c r="AL2399" s="937"/>
    </row>
    <row r="2400" spans="2:38" s="930" customFormat="1" ht="20.25" customHeight="1" x14ac:dyDescent="0.2">
      <c r="B2400" s="936"/>
      <c r="C2400" s="936"/>
      <c r="D2400" s="936"/>
      <c r="E2400" s="936"/>
      <c r="AH2400" s="983"/>
      <c r="AI2400" s="983"/>
      <c r="AJ2400" s="968"/>
      <c r="AL2400" s="937"/>
    </row>
    <row r="2401" spans="2:38" s="930" customFormat="1" ht="20.25" customHeight="1" x14ac:dyDescent="0.2">
      <c r="B2401" s="936"/>
      <c r="C2401" s="936"/>
      <c r="D2401" s="936"/>
      <c r="E2401" s="936"/>
      <c r="AH2401" s="983"/>
      <c r="AI2401" s="983"/>
      <c r="AJ2401" s="968"/>
      <c r="AL2401" s="937"/>
    </row>
    <row r="2402" spans="2:38" s="930" customFormat="1" ht="20.25" customHeight="1" x14ac:dyDescent="0.2">
      <c r="B2402" s="936"/>
      <c r="C2402" s="936"/>
      <c r="D2402" s="936"/>
      <c r="E2402" s="936"/>
      <c r="AH2402" s="983"/>
      <c r="AI2402" s="983"/>
      <c r="AJ2402" s="968"/>
      <c r="AL2402" s="937"/>
    </row>
    <row r="2403" spans="2:38" s="930" customFormat="1" ht="20.25" customHeight="1" x14ac:dyDescent="0.2">
      <c r="B2403" s="936"/>
      <c r="C2403" s="936"/>
      <c r="D2403" s="936"/>
      <c r="E2403" s="936"/>
      <c r="AH2403" s="983"/>
      <c r="AI2403" s="983"/>
      <c r="AJ2403" s="968"/>
      <c r="AL2403" s="937"/>
    </row>
    <row r="2404" spans="2:38" s="930" customFormat="1" ht="20.25" customHeight="1" x14ac:dyDescent="0.2">
      <c r="B2404" s="936"/>
      <c r="C2404" s="936"/>
      <c r="D2404" s="936"/>
      <c r="E2404" s="936"/>
      <c r="AH2404" s="983"/>
      <c r="AI2404" s="983"/>
      <c r="AJ2404" s="968"/>
      <c r="AL2404" s="937"/>
    </row>
    <row r="2405" spans="2:38" s="930" customFormat="1" ht="20.25" customHeight="1" x14ac:dyDescent="0.2">
      <c r="B2405" s="936"/>
      <c r="C2405" s="936"/>
      <c r="D2405" s="936"/>
      <c r="E2405" s="936"/>
      <c r="AH2405" s="983"/>
      <c r="AI2405" s="983"/>
      <c r="AJ2405" s="968"/>
      <c r="AL2405" s="937"/>
    </row>
    <row r="2406" spans="2:38" s="930" customFormat="1" ht="20.25" customHeight="1" x14ac:dyDescent="0.2">
      <c r="B2406" s="936"/>
      <c r="C2406" s="936"/>
      <c r="D2406" s="936"/>
      <c r="E2406" s="936"/>
      <c r="AH2406" s="983"/>
      <c r="AI2406" s="983"/>
      <c r="AJ2406" s="968"/>
      <c r="AL2406" s="937"/>
    </row>
    <row r="2407" spans="2:38" s="930" customFormat="1" ht="20.25" customHeight="1" x14ac:dyDescent="0.2">
      <c r="B2407" s="936"/>
      <c r="C2407" s="936"/>
      <c r="D2407" s="936"/>
      <c r="E2407" s="936"/>
      <c r="AH2407" s="983"/>
      <c r="AI2407" s="983"/>
      <c r="AJ2407" s="968"/>
      <c r="AL2407" s="937"/>
    </row>
    <row r="2408" spans="2:38" s="930" customFormat="1" ht="20.25" customHeight="1" x14ac:dyDescent="0.2">
      <c r="B2408" s="936"/>
      <c r="C2408" s="936"/>
      <c r="D2408" s="936"/>
      <c r="E2408" s="936"/>
      <c r="AH2408" s="983"/>
      <c r="AI2408" s="983"/>
      <c r="AJ2408" s="968"/>
      <c r="AL2408" s="937"/>
    </row>
    <row r="2409" spans="2:38" s="930" customFormat="1" ht="20.25" customHeight="1" x14ac:dyDescent="0.2">
      <c r="B2409" s="936"/>
      <c r="C2409" s="936"/>
      <c r="D2409" s="936"/>
      <c r="E2409" s="936"/>
      <c r="AH2409" s="983"/>
      <c r="AI2409" s="983"/>
      <c r="AJ2409" s="968"/>
      <c r="AL2409" s="937"/>
    </row>
    <row r="2410" spans="2:38" s="930" customFormat="1" ht="20.25" customHeight="1" x14ac:dyDescent="0.2">
      <c r="B2410" s="936"/>
      <c r="C2410" s="936"/>
      <c r="D2410" s="936"/>
      <c r="E2410" s="936"/>
      <c r="AH2410" s="983"/>
      <c r="AI2410" s="983"/>
      <c r="AJ2410" s="968"/>
      <c r="AL2410" s="937"/>
    </row>
    <row r="2411" spans="2:38" s="930" customFormat="1" ht="20.25" customHeight="1" x14ac:dyDescent="0.2">
      <c r="B2411" s="936"/>
      <c r="C2411" s="936"/>
      <c r="D2411" s="936"/>
      <c r="E2411" s="936"/>
      <c r="AH2411" s="983"/>
      <c r="AI2411" s="983"/>
      <c r="AJ2411" s="968"/>
      <c r="AL2411" s="937"/>
    </row>
    <row r="2412" spans="2:38" s="930" customFormat="1" ht="20.25" customHeight="1" x14ac:dyDescent="0.2">
      <c r="B2412" s="936"/>
      <c r="C2412" s="936"/>
      <c r="D2412" s="936"/>
      <c r="E2412" s="936"/>
      <c r="AH2412" s="983"/>
      <c r="AI2412" s="983"/>
      <c r="AJ2412" s="968"/>
      <c r="AL2412" s="937"/>
    </row>
    <row r="2413" spans="2:38" s="930" customFormat="1" ht="20.25" customHeight="1" x14ac:dyDescent="0.2">
      <c r="B2413" s="936"/>
      <c r="C2413" s="936"/>
      <c r="D2413" s="936"/>
      <c r="E2413" s="936"/>
      <c r="AH2413" s="983"/>
      <c r="AI2413" s="983"/>
      <c r="AJ2413" s="968"/>
      <c r="AL2413" s="937"/>
    </row>
    <row r="2414" spans="2:38" s="930" customFormat="1" ht="20.25" customHeight="1" x14ac:dyDescent="0.2">
      <c r="B2414" s="936"/>
      <c r="C2414" s="936"/>
      <c r="D2414" s="936"/>
      <c r="E2414" s="936"/>
      <c r="AH2414" s="983"/>
      <c r="AI2414" s="983"/>
      <c r="AJ2414" s="968"/>
      <c r="AL2414" s="937"/>
    </row>
    <row r="2415" spans="2:38" s="930" customFormat="1" ht="20.25" customHeight="1" x14ac:dyDescent="0.2">
      <c r="B2415" s="936"/>
      <c r="C2415" s="936"/>
      <c r="D2415" s="936"/>
      <c r="E2415" s="936"/>
      <c r="AH2415" s="983"/>
      <c r="AI2415" s="983"/>
      <c r="AJ2415" s="968"/>
      <c r="AL2415" s="937"/>
    </row>
    <row r="2416" spans="2:38" s="930" customFormat="1" ht="20.25" customHeight="1" x14ac:dyDescent="0.2">
      <c r="B2416" s="936"/>
      <c r="C2416" s="936"/>
      <c r="D2416" s="936"/>
      <c r="E2416" s="936"/>
      <c r="AH2416" s="983"/>
      <c r="AI2416" s="983"/>
      <c r="AJ2416" s="968"/>
      <c r="AL2416" s="937"/>
    </row>
    <row r="2417" spans="2:38" s="930" customFormat="1" ht="20.25" customHeight="1" x14ac:dyDescent="0.2">
      <c r="B2417" s="936"/>
      <c r="C2417" s="936"/>
      <c r="D2417" s="936"/>
      <c r="E2417" s="936"/>
      <c r="AH2417" s="983"/>
      <c r="AI2417" s="983"/>
      <c r="AJ2417" s="968"/>
      <c r="AL2417" s="937"/>
    </row>
    <row r="2418" spans="2:38" s="930" customFormat="1" ht="20.25" customHeight="1" x14ac:dyDescent="0.2">
      <c r="B2418" s="936"/>
      <c r="C2418" s="936"/>
      <c r="D2418" s="936"/>
      <c r="E2418" s="936"/>
      <c r="AH2418" s="983"/>
      <c r="AI2418" s="983"/>
      <c r="AJ2418" s="968"/>
      <c r="AL2418" s="937"/>
    </row>
    <row r="2419" spans="2:38" s="930" customFormat="1" ht="20.25" customHeight="1" x14ac:dyDescent="0.2">
      <c r="B2419" s="936"/>
      <c r="C2419" s="936"/>
      <c r="D2419" s="936"/>
      <c r="E2419" s="936"/>
      <c r="AH2419" s="983"/>
      <c r="AI2419" s="983"/>
      <c r="AJ2419" s="968"/>
      <c r="AL2419" s="937"/>
    </row>
    <row r="2420" spans="2:38" s="930" customFormat="1" ht="20.25" customHeight="1" x14ac:dyDescent="0.2">
      <c r="B2420" s="936"/>
      <c r="C2420" s="936"/>
      <c r="D2420" s="936"/>
      <c r="E2420" s="936"/>
      <c r="AH2420" s="983"/>
      <c r="AI2420" s="983"/>
      <c r="AJ2420" s="968"/>
      <c r="AL2420" s="937"/>
    </row>
    <row r="2421" spans="2:38" s="930" customFormat="1" ht="20.25" customHeight="1" x14ac:dyDescent="0.2">
      <c r="B2421" s="936"/>
      <c r="C2421" s="936"/>
      <c r="D2421" s="936"/>
      <c r="E2421" s="936"/>
      <c r="AH2421" s="983"/>
      <c r="AI2421" s="983"/>
      <c r="AJ2421" s="968"/>
      <c r="AL2421" s="937"/>
    </row>
    <row r="2422" spans="2:38" s="930" customFormat="1" ht="20.25" customHeight="1" x14ac:dyDescent="0.2">
      <c r="B2422" s="936"/>
      <c r="C2422" s="936"/>
      <c r="D2422" s="936"/>
      <c r="E2422" s="936"/>
      <c r="AH2422" s="983"/>
      <c r="AI2422" s="983"/>
      <c r="AJ2422" s="968"/>
      <c r="AL2422" s="937"/>
    </row>
    <row r="2423" spans="2:38" s="930" customFormat="1" ht="20.25" customHeight="1" x14ac:dyDescent="0.2">
      <c r="B2423" s="936"/>
      <c r="C2423" s="936"/>
      <c r="D2423" s="936"/>
      <c r="E2423" s="936"/>
      <c r="AH2423" s="983"/>
      <c r="AI2423" s="983"/>
      <c r="AJ2423" s="968"/>
      <c r="AL2423" s="937"/>
    </row>
    <row r="2424" spans="2:38" s="930" customFormat="1" ht="20.25" customHeight="1" x14ac:dyDescent="0.2">
      <c r="B2424" s="936"/>
      <c r="C2424" s="936"/>
      <c r="D2424" s="936"/>
      <c r="E2424" s="936"/>
      <c r="AH2424" s="983"/>
      <c r="AI2424" s="983"/>
      <c r="AJ2424" s="968"/>
      <c r="AL2424" s="937"/>
    </row>
    <row r="2425" spans="2:38" s="930" customFormat="1" ht="20.25" customHeight="1" x14ac:dyDescent="0.2">
      <c r="B2425" s="936"/>
      <c r="C2425" s="936"/>
      <c r="D2425" s="936"/>
      <c r="E2425" s="936"/>
      <c r="AH2425" s="983"/>
      <c r="AI2425" s="983"/>
      <c r="AJ2425" s="968"/>
      <c r="AL2425" s="937"/>
    </row>
    <row r="2426" spans="2:38" s="930" customFormat="1" ht="20.25" customHeight="1" x14ac:dyDescent="0.2">
      <c r="B2426" s="936"/>
      <c r="C2426" s="936"/>
      <c r="D2426" s="936"/>
      <c r="E2426" s="936"/>
      <c r="AH2426" s="983"/>
      <c r="AI2426" s="983"/>
      <c r="AJ2426" s="968"/>
      <c r="AL2426" s="937"/>
    </row>
    <row r="2427" spans="2:38" s="930" customFormat="1" ht="20.25" customHeight="1" x14ac:dyDescent="0.2">
      <c r="B2427" s="936"/>
      <c r="C2427" s="936"/>
      <c r="D2427" s="936"/>
      <c r="E2427" s="936"/>
      <c r="AH2427" s="983"/>
      <c r="AI2427" s="983"/>
      <c r="AJ2427" s="968"/>
      <c r="AL2427" s="937"/>
    </row>
    <row r="2428" spans="2:38" s="930" customFormat="1" ht="20.25" customHeight="1" x14ac:dyDescent="0.2">
      <c r="B2428" s="936"/>
      <c r="C2428" s="936"/>
      <c r="D2428" s="936"/>
      <c r="E2428" s="936"/>
      <c r="AH2428" s="983"/>
      <c r="AI2428" s="983"/>
      <c r="AJ2428" s="968"/>
      <c r="AL2428" s="937"/>
    </row>
    <row r="2429" spans="2:38" s="930" customFormat="1" ht="20.25" customHeight="1" x14ac:dyDescent="0.2">
      <c r="B2429" s="936"/>
      <c r="C2429" s="936"/>
      <c r="D2429" s="936"/>
      <c r="E2429" s="936"/>
      <c r="AH2429" s="983"/>
      <c r="AI2429" s="983"/>
      <c r="AJ2429" s="968"/>
      <c r="AL2429" s="937"/>
    </row>
    <row r="2430" spans="2:38" s="930" customFormat="1" ht="20.25" customHeight="1" x14ac:dyDescent="0.2">
      <c r="B2430" s="936"/>
      <c r="C2430" s="936"/>
      <c r="D2430" s="936"/>
      <c r="E2430" s="936"/>
      <c r="AH2430" s="983"/>
      <c r="AI2430" s="983"/>
      <c r="AJ2430" s="968"/>
      <c r="AL2430" s="937"/>
    </row>
    <row r="2431" spans="2:38" s="930" customFormat="1" ht="20.25" customHeight="1" x14ac:dyDescent="0.2">
      <c r="B2431" s="936"/>
      <c r="C2431" s="936"/>
      <c r="D2431" s="936"/>
      <c r="E2431" s="936"/>
      <c r="AH2431" s="983"/>
      <c r="AI2431" s="983"/>
      <c r="AJ2431" s="968"/>
      <c r="AL2431" s="937"/>
    </row>
    <row r="2432" spans="2:38" s="930" customFormat="1" ht="20.25" customHeight="1" x14ac:dyDescent="0.2">
      <c r="B2432" s="936"/>
      <c r="C2432" s="936"/>
      <c r="D2432" s="936"/>
      <c r="E2432" s="936"/>
      <c r="AH2432" s="983"/>
      <c r="AI2432" s="983"/>
      <c r="AJ2432" s="968"/>
      <c r="AL2432" s="937"/>
    </row>
    <row r="2433" spans="2:38" s="930" customFormat="1" ht="20.25" customHeight="1" x14ac:dyDescent="0.2">
      <c r="B2433" s="936"/>
      <c r="C2433" s="936"/>
      <c r="D2433" s="936"/>
      <c r="E2433" s="936"/>
      <c r="AH2433" s="983"/>
      <c r="AI2433" s="983"/>
      <c r="AJ2433" s="968"/>
      <c r="AL2433" s="937"/>
    </row>
    <row r="2434" spans="2:38" s="930" customFormat="1" ht="20.25" customHeight="1" x14ac:dyDescent="0.2">
      <c r="B2434" s="936"/>
      <c r="C2434" s="936"/>
      <c r="D2434" s="936"/>
      <c r="E2434" s="936"/>
      <c r="AH2434" s="983"/>
      <c r="AI2434" s="983"/>
      <c r="AJ2434" s="968"/>
      <c r="AL2434" s="937"/>
    </row>
    <row r="2435" spans="2:38" s="930" customFormat="1" ht="20.25" customHeight="1" x14ac:dyDescent="0.2">
      <c r="B2435" s="936"/>
      <c r="C2435" s="936"/>
      <c r="D2435" s="936"/>
      <c r="E2435" s="936"/>
      <c r="AH2435" s="983"/>
      <c r="AI2435" s="983"/>
      <c r="AJ2435" s="968"/>
      <c r="AL2435" s="937"/>
    </row>
    <row r="2436" spans="2:38" s="930" customFormat="1" ht="20.25" customHeight="1" x14ac:dyDescent="0.2">
      <c r="B2436" s="936"/>
      <c r="C2436" s="936"/>
      <c r="D2436" s="936"/>
      <c r="E2436" s="936"/>
      <c r="AH2436" s="983"/>
      <c r="AI2436" s="983"/>
      <c r="AJ2436" s="968"/>
      <c r="AL2436" s="937"/>
    </row>
    <row r="2437" spans="2:38" s="930" customFormat="1" ht="20.25" customHeight="1" x14ac:dyDescent="0.2">
      <c r="B2437" s="936"/>
      <c r="C2437" s="936"/>
      <c r="D2437" s="936"/>
      <c r="E2437" s="936"/>
      <c r="AH2437" s="983"/>
      <c r="AI2437" s="983"/>
      <c r="AJ2437" s="968"/>
      <c r="AL2437" s="937"/>
    </row>
    <row r="2438" spans="2:38" s="930" customFormat="1" ht="20.25" customHeight="1" x14ac:dyDescent="0.2">
      <c r="B2438" s="936"/>
      <c r="C2438" s="936"/>
      <c r="D2438" s="936"/>
      <c r="E2438" s="936"/>
      <c r="AH2438" s="983"/>
      <c r="AI2438" s="983"/>
      <c r="AJ2438" s="968"/>
      <c r="AL2438" s="937"/>
    </row>
    <row r="2439" spans="2:38" s="930" customFormat="1" ht="20.25" customHeight="1" x14ac:dyDescent="0.2">
      <c r="B2439" s="936"/>
      <c r="C2439" s="936"/>
      <c r="D2439" s="936"/>
      <c r="E2439" s="936"/>
      <c r="AH2439" s="983"/>
      <c r="AI2439" s="983"/>
      <c r="AJ2439" s="968"/>
      <c r="AL2439" s="937"/>
    </row>
    <row r="2440" spans="2:38" s="930" customFormat="1" ht="20.25" customHeight="1" x14ac:dyDescent="0.2">
      <c r="B2440" s="936"/>
      <c r="C2440" s="936"/>
      <c r="D2440" s="936"/>
      <c r="E2440" s="936"/>
      <c r="AH2440" s="983"/>
      <c r="AI2440" s="983"/>
      <c r="AJ2440" s="968"/>
      <c r="AL2440" s="937"/>
    </row>
    <row r="2441" spans="2:38" s="930" customFormat="1" ht="20.25" customHeight="1" x14ac:dyDescent="0.2">
      <c r="B2441" s="936"/>
      <c r="C2441" s="936"/>
      <c r="D2441" s="936"/>
      <c r="E2441" s="936"/>
      <c r="AH2441" s="983"/>
      <c r="AI2441" s="983"/>
      <c r="AJ2441" s="968"/>
      <c r="AL2441" s="937"/>
    </row>
    <row r="2442" spans="2:38" s="930" customFormat="1" ht="20.25" customHeight="1" x14ac:dyDescent="0.2">
      <c r="B2442" s="936"/>
      <c r="C2442" s="936"/>
      <c r="D2442" s="936"/>
      <c r="E2442" s="936"/>
      <c r="AH2442" s="983"/>
      <c r="AI2442" s="983"/>
      <c r="AJ2442" s="968"/>
      <c r="AL2442" s="937"/>
    </row>
    <row r="2443" spans="2:38" s="930" customFormat="1" ht="20.25" customHeight="1" x14ac:dyDescent="0.2">
      <c r="B2443" s="936"/>
      <c r="C2443" s="936"/>
      <c r="D2443" s="936"/>
      <c r="E2443" s="936"/>
      <c r="AH2443" s="983"/>
      <c r="AI2443" s="983"/>
      <c r="AJ2443" s="968"/>
      <c r="AL2443" s="937"/>
    </row>
    <row r="2444" spans="2:38" s="930" customFormat="1" ht="20.25" customHeight="1" x14ac:dyDescent="0.2">
      <c r="B2444" s="936"/>
      <c r="C2444" s="936"/>
      <c r="D2444" s="936"/>
      <c r="E2444" s="936"/>
      <c r="AH2444" s="983"/>
      <c r="AI2444" s="983"/>
      <c r="AJ2444" s="968"/>
      <c r="AL2444" s="937"/>
    </row>
    <row r="2445" spans="2:38" s="930" customFormat="1" ht="20.25" customHeight="1" x14ac:dyDescent="0.2">
      <c r="B2445" s="936"/>
      <c r="C2445" s="936"/>
      <c r="D2445" s="936"/>
      <c r="E2445" s="936"/>
      <c r="AH2445" s="983"/>
      <c r="AI2445" s="983"/>
      <c r="AJ2445" s="968"/>
      <c r="AL2445" s="937"/>
    </row>
    <row r="2446" spans="2:38" s="930" customFormat="1" ht="20.25" customHeight="1" x14ac:dyDescent="0.2">
      <c r="B2446" s="936"/>
      <c r="C2446" s="936"/>
      <c r="D2446" s="936"/>
      <c r="E2446" s="936"/>
      <c r="AH2446" s="983"/>
      <c r="AI2446" s="983"/>
      <c r="AJ2446" s="968"/>
      <c r="AL2446" s="937"/>
    </row>
    <row r="2447" spans="2:38" s="930" customFormat="1" ht="20.25" customHeight="1" x14ac:dyDescent="0.2">
      <c r="B2447" s="936"/>
      <c r="C2447" s="936"/>
      <c r="D2447" s="936"/>
      <c r="E2447" s="936"/>
      <c r="AH2447" s="983"/>
      <c r="AI2447" s="983"/>
      <c r="AJ2447" s="968"/>
      <c r="AL2447" s="937"/>
    </row>
    <row r="2448" spans="2:38" s="930" customFormat="1" ht="20.25" customHeight="1" x14ac:dyDescent="0.2">
      <c r="B2448" s="936"/>
      <c r="C2448" s="936"/>
      <c r="D2448" s="936"/>
      <c r="E2448" s="936"/>
      <c r="AH2448" s="983"/>
      <c r="AI2448" s="983"/>
      <c r="AJ2448" s="968"/>
      <c r="AL2448" s="937"/>
    </row>
    <row r="2449" spans="2:38" s="930" customFormat="1" ht="20.25" customHeight="1" x14ac:dyDescent="0.2">
      <c r="B2449" s="936"/>
      <c r="C2449" s="936"/>
      <c r="D2449" s="936"/>
      <c r="E2449" s="936"/>
      <c r="AH2449" s="983"/>
      <c r="AI2449" s="983"/>
      <c r="AJ2449" s="968"/>
      <c r="AL2449" s="937"/>
    </row>
    <row r="2450" spans="2:38" s="930" customFormat="1" ht="20.25" customHeight="1" x14ac:dyDescent="0.2">
      <c r="B2450" s="936"/>
      <c r="C2450" s="936"/>
      <c r="D2450" s="936"/>
      <c r="E2450" s="936"/>
      <c r="AH2450" s="983"/>
      <c r="AI2450" s="983"/>
      <c r="AJ2450" s="968"/>
      <c r="AL2450" s="937"/>
    </row>
    <row r="2451" spans="2:38" s="930" customFormat="1" ht="20.25" customHeight="1" x14ac:dyDescent="0.2">
      <c r="B2451" s="936"/>
      <c r="C2451" s="936"/>
      <c r="D2451" s="936"/>
      <c r="E2451" s="936"/>
      <c r="AH2451" s="983"/>
      <c r="AI2451" s="983"/>
      <c r="AJ2451" s="968"/>
      <c r="AL2451" s="937"/>
    </row>
    <row r="2452" spans="2:38" s="930" customFormat="1" ht="20.25" customHeight="1" x14ac:dyDescent="0.2">
      <c r="B2452" s="936"/>
      <c r="C2452" s="936"/>
      <c r="D2452" s="936"/>
      <c r="E2452" s="936"/>
      <c r="AH2452" s="983"/>
      <c r="AI2452" s="983"/>
      <c r="AJ2452" s="968"/>
      <c r="AL2452" s="937"/>
    </row>
    <row r="2453" spans="2:38" s="930" customFormat="1" ht="20.25" customHeight="1" x14ac:dyDescent="0.2">
      <c r="B2453" s="936"/>
      <c r="C2453" s="936"/>
      <c r="D2453" s="936"/>
      <c r="E2453" s="936"/>
      <c r="AH2453" s="983"/>
      <c r="AI2453" s="983"/>
      <c r="AJ2453" s="968"/>
      <c r="AL2453" s="937"/>
    </row>
    <row r="2454" spans="2:38" s="930" customFormat="1" ht="20.25" customHeight="1" x14ac:dyDescent="0.2">
      <c r="B2454" s="936"/>
      <c r="C2454" s="936"/>
      <c r="D2454" s="936"/>
      <c r="E2454" s="936"/>
      <c r="AH2454" s="983"/>
      <c r="AI2454" s="983"/>
      <c r="AJ2454" s="968"/>
      <c r="AL2454" s="937"/>
    </row>
    <row r="2455" spans="2:38" s="930" customFormat="1" ht="20.25" customHeight="1" x14ac:dyDescent="0.2">
      <c r="B2455" s="936"/>
      <c r="C2455" s="936"/>
      <c r="D2455" s="936"/>
      <c r="E2455" s="936"/>
      <c r="AH2455" s="983"/>
      <c r="AI2455" s="983"/>
      <c r="AJ2455" s="968"/>
      <c r="AL2455" s="937"/>
    </row>
    <row r="2456" spans="2:38" s="930" customFormat="1" ht="20.25" customHeight="1" x14ac:dyDescent="0.2">
      <c r="B2456" s="936"/>
      <c r="C2456" s="936"/>
      <c r="D2456" s="936"/>
      <c r="E2456" s="936"/>
      <c r="AH2456" s="983"/>
      <c r="AI2456" s="983"/>
      <c r="AJ2456" s="968"/>
      <c r="AL2456" s="937"/>
    </row>
    <row r="2457" spans="2:38" s="930" customFormat="1" ht="20.25" customHeight="1" x14ac:dyDescent="0.2">
      <c r="B2457" s="936"/>
      <c r="C2457" s="936"/>
      <c r="D2457" s="936"/>
      <c r="E2457" s="936"/>
      <c r="AH2457" s="983"/>
      <c r="AI2457" s="983"/>
      <c r="AJ2457" s="968"/>
      <c r="AL2457" s="937"/>
    </row>
    <row r="2458" spans="2:38" s="930" customFormat="1" ht="20.25" customHeight="1" x14ac:dyDescent="0.2">
      <c r="B2458" s="936"/>
      <c r="C2458" s="936"/>
      <c r="D2458" s="936"/>
      <c r="E2458" s="936"/>
      <c r="AH2458" s="983"/>
      <c r="AI2458" s="983"/>
      <c r="AJ2458" s="968"/>
      <c r="AL2458" s="937"/>
    </row>
    <row r="2459" spans="2:38" s="930" customFormat="1" ht="20.25" customHeight="1" x14ac:dyDescent="0.2">
      <c r="B2459" s="936"/>
      <c r="C2459" s="936"/>
      <c r="D2459" s="936"/>
      <c r="E2459" s="936"/>
      <c r="AH2459" s="983"/>
      <c r="AI2459" s="983"/>
      <c r="AJ2459" s="968"/>
      <c r="AL2459" s="937"/>
    </row>
    <row r="2460" spans="2:38" s="930" customFormat="1" ht="20.25" customHeight="1" x14ac:dyDescent="0.2">
      <c r="B2460" s="936"/>
      <c r="C2460" s="936"/>
      <c r="D2460" s="936"/>
      <c r="E2460" s="936"/>
      <c r="AH2460" s="983"/>
      <c r="AI2460" s="983"/>
      <c r="AJ2460" s="968"/>
      <c r="AL2460" s="937"/>
    </row>
    <row r="2461" spans="2:38" s="930" customFormat="1" ht="20.25" customHeight="1" x14ac:dyDescent="0.2">
      <c r="B2461" s="936"/>
      <c r="C2461" s="936"/>
      <c r="D2461" s="936"/>
      <c r="E2461" s="936"/>
      <c r="AH2461" s="983"/>
      <c r="AI2461" s="983"/>
      <c r="AJ2461" s="968"/>
      <c r="AL2461" s="937"/>
    </row>
    <row r="2462" spans="2:38" s="930" customFormat="1" ht="20.25" customHeight="1" x14ac:dyDescent="0.2">
      <c r="B2462" s="936"/>
      <c r="C2462" s="936"/>
      <c r="D2462" s="936"/>
      <c r="E2462" s="936"/>
      <c r="AH2462" s="983"/>
      <c r="AI2462" s="983"/>
      <c r="AJ2462" s="968"/>
      <c r="AL2462" s="937"/>
    </row>
    <row r="2463" spans="2:38" s="930" customFormat="1" ht="20.25" customHeight="1" x14ac:dyDescent="0.2">
      <c r="B2463" s="936"/>
      <c r="C2463" s="936"/>
      <c r="D2463" s="936"/>
      <c r="E2463" s="936"/>
      <c r="AH2463" s="983"/>
      <c r="AI2463" s="983"/>
      <c r="AJ2463" s="968"/>
      <c r="AL2463" s="937"/>
    </row>
    <row r="2464" spans="2:38" s="930" customFormat="1" ht="20.25" customHeight="1" x14ac:dyDescent="0.2">
      <c r="B2464" s="936"/>
      <c r="C2464" s="936"/>
      <c r="D2464" s="936"/>
      <c r="E2464" s="936"/>
      <c r="AH2464" s="983"/>
      <c r="AI2464" s="983"/>
      <c r="AJ2464" s="968"/>
      <c r="AL2464" s="937"/>
    </row>
    <row r="2465" spans="2:38" s="930" customFormat="1" ht="20.25" customHeight="1" x14ac:dyDescent="0.2">
      <c r="B2465" s="936"/>
      <c r="C2465" s="936"/>
      <c r="D2465" s="936"/>
      <c r="E2465" s="936"/>
      <c r="AH2465" s="983"/>
      <c r="AI2465" s="983"/>
      <c r="AJ2465" s="968"/>
      <c r="AL2465" s="937"/>
    </row>
    <row r="2466" spans="2:38" s="930" customFormat="1" ht="20.25" customHeight="1" x14ac:dyDescent="0.2">
      <c r="B2466" s="936"/>
      <c r="C2466" s="936"/>
      <c r="D2466" s="936"/>
      <c r="E2466" s="936"/>
      <c r="AH2466" s="983"/>
      <c r="AI2466" s="983"/>
      <c r="AJ2466" s="968"/>
      <c r="AL2466" s="937"/>
    </row>
    <row r="2467" spans="2:38" s="930" customFormat="1" ht="20.25" customHeight="1" x14ac:dyDescent="0.2">
      <c r="B2467" s="936"/>
      <c r="C2467" s="936"/>
      <c r="D2467" s="936"/>
      <c r="E2467" s="936"/>
      <c r="AH2467" s="983"/>
      <c r="AI2467" s="983"/>
      <c r="AJ2467" s="968"/>
      <c r="AL2467" s="937"/>
    </row>
    <row r="2468" spans="2:38" s="930" customFormat="1" ht="20.25" customHeight="1" x14ac:dyDescent="0.2">
      <c r="B2468" s="936"/>
      <c r="C2468" s="936"/>
      <c r="D2468" s="936"/>
      <c r="E2468" s="936"/>
      <c r="AH2468" s="983"/>
      <c r="AI2468" s="983"/>
      <c r="AJ2468" s="968"/>
      <c r="AL2468" s="937"/>
    </row>
    <row r="2469" spans="2:38" s="930" customFormat="1" ht="20.25" customHeight="1" x14ac:dyDescent="0.2">
      <c r="B2469" s="936"/>
      <c r="C2469" s="936"/>
      <c r="D2469" s="936"/>
      <c r="E2469" s="936"/>
      <c r="AH2469" s="983"/>
      <c r="AI2469" s="983"/>
      <c r="AJ2469" s="968"/>
      <c r="AL2469" s="937"/>
    </row>
    <row r="2470" spans="2:38" s="930" customFormat="1" ht="20.25" customHeight="1" x14ac:dyDescent="0.2">
      <c r="B2470" s="936"/>
      <c r="C2470" s="936"/>
      <c r="D2470" s="936"/>
      <c r="E2470" s="936"/>
      <c r="AH2470" s="983"/>
      <c r="AI2470" s="983"/>
      <c r="AJ2470" s="968"/>
      <c r="AL2470" s="937"/>
    </row>
    <row r="2471" spans="2:38" s="930" customFormat="1" ht="20.25" customHeight="1" x14ac:dyDescent="0.2">
      <c r="B2471" s="936"/>
      <c r="C2471" s="936"/>
      <c r="D2471" s="936"/>
      <c r="E2471" s="936"/>
      <c r="AH2471" s="983"/>
      <c r="AI2471" s="983"/>
      <c r="AJ2471" s="968"/>
      <c r="AL2471" s="937"/>
    </row>
    <row r="2472" spans="2:38" s="930" customFormat="1" ht="20.25" customHeight="1" x14ac:dyDescent="0.2">
      <c r="B2472" s="936"/>
      <c r="C2472" s="936"/>
      <c r="D2472" s="936"/>
      <c r="E2472" s="936"/>
      <c r="AH2472" s="983"/>
      <c r="AI2472" s="983"/>
      <c r="AJ2472" s="968"/>
      <c r="AL2472" s="937"/>
    </row>
    <row r="2473" spans="2:38" s="930" customFormat="1" ht="20.25" customHeight="1" x14ac:dyDescent="0.2">
      <c r="B2473" s="936"/>
      <c r="C2473" s="936"/>
      <c r="D2473" s="936"/>
      <c r="E2473" s="936"/>
      <c r="AH2473" s="983"/>
      <c r="AI2473" s="983"/>
      <c r="AJ2473" s="968"/>
      <c r="AL2473" s="937"/>
    </row>
    <row r="2474" spans="2:38" s="930" customFormat="1" ht="20.25" customHeight="1" x14ac:dyDescent="0.2">
      <c r="B2474" s="936"/>
      <c r="C2474" s="936"/>
      <c r="D2474" s="936"/>
      <c r="E2474" s="936"/>
      <c r="AH2474" s="983"/>
      <c r="AI2474" s="983"/>
      <c r="AJ2474" s="968"/>
      <c r="AL2474" s="937"/>
    </row>
    <row r="2475" spans="2:38" s="930" customFormat="1" ht="20.25" customHeight="1" x14ac:dyDescent="0.2">
      <c r="B2475" s="936"/>
      <c r="C2475" s="936"/>
      <c r="D2475" s="936"/>
      <c r="E2475" s="936"/>
      <c r="AH2475" s="983"/>
      <c r="AI2475" s="983"/>
      <c r="AJ2475" s="968"/>
      <c r="AL2475" s="937"/>
    </row>
    <row r="2476" spans="2:38" s="930" customFormat="1" ht="20.25" customHeight="1" x14ac:dyDescent="0.2">
      <c r="B2476" s="936"/>
      <c r="C2476" s="936"/>
      <c r="D2476" s="936"/>
      <c r="E2476" s="936"/>
      <c r="AH2476" s="983"/>
      <c r="AI2476" s="983"/>
      <c r="AJ2476" s="968"/>
      <c r="AL2476" s="937"/>
    </row>
    <row r="2477" spans="2:38" s="930" customFormat="1" ht="20.25" customHeight="1" x14ac:dyDescent="0.2">
      <c r="B2477" s="936"/>
      <c r="C2477" s="936"/>
      <c r="D2477" s="936"/>
      <c r="E2477" s="936"/>
      <c r="AH2477" s="983"/>
      <c r="AI2477" s="983"/>
      <c r="AJ2477" s="968"/>
      <c r="AL2477" s="937"/>
    </row>
    <row r="2478" spans="2:38" s="930" customFormat="1" ht="20.25" customHeight="1" x14ac:dyDescent="0.2">
      <c r="B2478" s="936"/>
      <c r="C2478" s="936"/>
      <c r="D2478" s="936"/>
      <c r="E2478" s="936"/>
      <c r="AH2478" s="983"/>
      <c r="AI2478" s="983"/>
      <c r="AJ2478" s="968"/>
      <c r="AL2478" s="937"/>
    </row>
    <row r="2479" spans="2:38" s="930" customFormat="1" ht="20.25" customHeight="1" x14ac:dyDescent="0.2">
      <c r="B2479" s="936"/>
      <c r="C2479" s="936"/>
      <c r="D2479" s="936"/>
      <c r="E2479" s="936"/>
      <c r="AH2479" s="983"/>
      <c r="AI2479" s="983"/>
      <c r="AJ2479" s="968"/>
      <c r="AL2479" s="937"/>
    </row>
    <row r="2480" spans="2:38" s="930" customFormat="1" ht="20.25" customHeight="1" x14ac:dyDescent="0.2">
      <c r="B2480" s="936"/>
      <c r="C2480" s="936"/>
      <c r="D2480" s="936"/>
      <c r="E2480" s="936"/>
      <c r="AH2480" s="983"/>
      <c r="AI2480" s="983"/>
      <c r="AJ2480" s="968"/>
      <c r="AL2480" s="937"/>
    </row>
    <row r="2481" spans="2:38" s="930" customFormat="1" ht="20.25" customHeight="1" x14ac:dyDescent="0.2">
      <c r="B2481" s="936"/>
      <c r="C2481" s="936"/>
      <c r="D2481" s="936"/>
      <c r="E2481" s="936"/>
      <c r="AH2481" s="983"/>
      <c r="AI2481" s="983"/>
      <c r="AJ2481" s="968"/>
      <c r="AL2481" s="937"/>
    </row>
    <row r="2482" spans="2:38" s="930" customFormat="1" ht="20.25" customHeight="1" x14ac:dyDescent="0.2">
      <c r="B2482" s="936"/>
      <c r="C2482" s="936"/>
      <c r="D2482" s="936"/>
      <c r="E2482" s="936"/>
      <c r="AH2482" s="983"/>
      <c r="AI2482" s="983"/>
      <c r="AJ2482" s="968"/>
      <c r="AL2482" s="937"/>
    </row>
    <row r="2483" spans="2:38" s="930" customFormat="1" ht="20.25" customHeight="1" x14ac:dyDescent="0.2">
      <c r="B2483" s="936"/>
      <c r="C2483" s="936"/>
      <c r="D2483" s="936"/>
      <c r="E2483" s="936"/>
      <c r="AH2483" s="983"/>
      <c r="AI2483" s="983"/>
      <c r="AJ2483" s="968"/>
      <c r="AL2483" s="937"/>
    </row>
    <row r="2484" spans="2:38" s="930" customFormat="1" ht="20.25" customHeight="1" x14ac:dyDescent="0.2">
      <c r="B2484" s="936"/>
      <c r="C2484" s="936"/>
      <c r="D2484" s="936"/>
      <c r="E2484" s="936"/>
      <c r="AH2484" s="983"/>
      <c r="AI2484" s="983"/>
      <c r="AJ2484" s="968"/>
      <c r="AL2484" s="937"/>
    </row>
    <row r="2485" spans="2:38" s="930" customFormat="1" ht="20.25" customHeight="1" x14ac:dyDescent="0.2">
      <c r="B2485" s="936"/>
      <c r="C2485" s="936"/>
      <c r="D2485" s="936"/>
      <c r="E2485" s="936"/>
      <c r="AH2485" s="983"/>
      <c r="AI2485" s="983"/>
      <c r="AJ2485" s="968"/>
      <c r="AL2485" s="937"/>
    </row>
    <row r="2486" spans="2:38" s="930" customFormat="1" ht="20.25" customHeight="1" x14ac:dyDescent="0.2">
      <c r="B2486" s="936"/>
      <c r="C2486" s="936"/>
      <c r="D2486" s="936"/>
      <c r="E2486" s="936"/>
      <c r="AH2486" s="983"/>
      <c r="AI2486" s="983"/>
      <c r="AJ2486" s="968"/>
      <c r="AL2486" s="937"/>
    </row>
    <row r="2487" spans="2:38" s="930" customFormat="1" ht="20.25" customHeight="1" x14ac:dyDescent="0.2">
      <c r="B2487" s="936"/>
      <c r="C2487" s="936"/>
      <c r="D2487" s="936"/>
      <c r="E2487" s="936"/>
      <c r="AH2487" s="983"/>
      <c r="AI2487" s="983"/>
      <c r="AJ2487" s="968"/>
      <c r="AL2487" s="937"/>
    </row>
    <row r="2488" spans="2:38" s="930" customFormat="1" ht="20.25" customHeight="1" x14ac:dyDescent="0.2">
      <c r="B2488" s="936"/>
      <c r="C2488" s="936"/>
      <c r="D2488" s="936"/>
      <c r="E2488" s="936"/>
      <c r="AH2488" s="983"/>
      <c r="AI2488" s="983"/>
      <c r="AJ2488" s="968"/>
      <c r="AL2488" s="937"/>
    </row>
    <row r="2489" spans="2:38" s="930" customFormat="1" ht="20.25" customHeight="1" x14ac:dyDescent="0.2">
      <c r="B2489" s="936"/>
      <c r="C2489" s="936"/>
      <c r="D2489" s="936"/>
      <c r="E2489" s="936"/>
      <c r="AH2489" s="983"/>
      <c r="AI2489" s="983"/>
      <c r="AJ2489" s="968"/>
      <c r="AL2489" s="937"/>
    </row>
    <row r="2490" spans="2:38" s="930" customFormat="1" ht="20.25" customHeight="1" x14ac:dyDescent="0.2">
      <c r="B2490" s="936"/>
      <c r="C2490" s="936"/>
      <c r="D2490" s="936"/>
      <c r="E2490" s="936"/>
      <c r="AH2490" s="983"/>
      <c r="AI2490" s="983"/>
      <c r="AJ2490" s="968"/>
      <c r="AL2490" s="937"/>
    </row>
    <row r="2491" spans="2:38" s="930" customFormat="1" ht="20.25" customHeight="1" x14ac:dyDescent="0.2">
      <c r="B2491" s="936"/>
      <c r="C2491" s="936"/>
      <c r="D2491" s="936"/>
      <c r="E2491" s="936"/>
      <c r="AH2491" s="983"/>
      <c r="AI2491" s="983"/>
      <c r="AJ2491" s="968"/>
      <c r="AL2491" s="937"/>
    </row>
    <row r="2492" spans="2:38" s="930" customFormat="1" ht="20.25" customHeight="1" x14ac:dyDescent="0.2">
      <c r="B2492" s="936"/>
      <c r="C2492" s="936"/>
      <c r="D2492" s="936"/>
      <c r="E2492" s="936"/>
      <c r="AH2492" s="983"/>
      <c r="AI2492" s="983"/>
      <c r="AJ2492" s="968"/>
      <c r="AL2492" s="937"/>
    </row>
    <row r="2493" spans="2:38" s="930" customFormat="1" ht="20.25" customHeight="1" x14ac:dyDescent="0.2">
      <c r="B2493" s="936"/>
      <c r="C2493" s="936"/>
      <c r="D2493" s="936"/>
      <c r="E2493" s="936"/>
      <c r="AH2493" s="983"/>
      <c r="AI2493" s="983"/>
      <c r="AJ2493" s="968"/>
      <c r="AL2493" s="937"/>
    </row>
    <row r="2494" spans="2:38" s="930" customFormat="1" ht="20.25" customHeight="1" x14ac:dyDescent="0.2">
      <c r="B2494" s="936"/>
      <c r="C2494" s="936"/>
      <c r="D2494" s="936"/>
      <c r="E2494" s="936"/>
      <c r="AH2494" s="983"/>
      <c r="AI2494" s="983"/>
      <c r="AJ2494" s="968"/>
      <c r="AL2494" s="937"/>
    </row>
    <row r="2495" spans="2:38" s="930" customFormat="1" ht="20.25" customHeight="1" x14ac:dyDescent="0.2">
      <c r="B2495" s="936"/>
      <c r="C2495" s="936"/>
      <c r="D2495" s="936"/>
      <c r="E2495" s="936"/>
      <c r="AH2495" s="983"/>
      <c r="AI2495" s="983"/>
      <c r="AJ2495" s="968"/>
      <c r="AL2495" s="937"/>
    </row>
    <row r="2496" spans="2:38" s="930" customFormat="1" ht="20.25" customHeight="1" x14ac:dyDescent="0.2">
      <c r="B2496" s="936"/>
      <c r="C2496" s="936"/>
      <c r="D2496" s="936"/>
      <c r="E2496" s="936"/>
      <c r="AH2496" s="983"/>
      <c r="AI2496" s="983"/>
      <c r="AJ2496" s="968"/>
      <c r="AL2496" s="937"/>
    </row>
    <row r="2497" spans="2:38" s="930" customFormat="1" ht="20.25" customHeight="1" x14ac:dyDescent="0.2">
      <c r="B2497" s="936"/>
      <c r="C2497" s="936"/>
      <c r="D2497" s="936"/>
      <c r="E2497" s="936"/>
      <c r="AH2497" s="983"/>
      <c r="AI2497" s="983"/>
      <c r="AJ2497" s="968"/>
      <c r="AL2497" s="937"/>
    </row>
    <row r="2498" spans="2:38" s="930" customFormat="1" ht="20.25" customHeight="1" x14ac:dyDescent="0.2">
      <c r="B2498" s="936"/>
      <c r="C2498" s="936"/>
      <c r="D2498" s="936"/>
      <c r="E2498" s="936"/>
      <c r="AH2498" s="983"/>
      <c r="AI2498" s="983"/>
      <c r="AJ2498" s="968"/>
      <c r="AL2498" s="937"/>
    </row>
    <row r="2499" spans="2:38" s="930" customFormat="1" ht="20.25" customHeight="1" x14ac:dyDescent="0.2">
      <c r="B2499" s="936"/>
      <c r="C2499" s="936"/>
      <c r="D2499" s="936"/>
      <c r="E2499" s="936"/>
      <c r="AH2499" s="983"/>
      <c r="AI2499" s="983"/>
      <c r="AJ2499" s="968"/>
      <c r="AL2499" s="937"/>
    </row>
    <row r="2500" spans="2:38" s="930" customFormat="1" ht="20.25" customHeight="1" x14ac:dyDescent="0.2">
      <c r="B2500" s="936"/>
      <c r="C2500" s="936"/>
      <c r="D2500" s="936"/>
      <c r="E2500" s="936"/>
      <c r="AH2500" s="983"/>
      <c r="AI2500" s="983"/>
      <c r="AJ2500" s="968"/>
      <c r="AL2500" s="937"/>
    </row>
    <row r="2501" spans="2:38" s="930" customFormat="1" ht="20.25" customHeight="1" x14ac:dyDescent="0.2">
      <c r="B2501" s="936"/>
      <c r="C2501" s="936"/>
      <c r="D2501" s="936"/>
      <c r="E2501" s="936"/>
      <c r="AH2501" s="983"/>
      <c r="AI2501" s="983"/>
      <c r="AJ2501" s="968"/>
      <c r="AL2501" s="937"/>
    </row>
    <row r="2502" spans="2:38" s="930" customFormat="1" ht="20.25" customHeight="1" x14ac:dyDescent="0.2">
      <c r="B2502" s="936"/>
      <c r="C2502" s="936"/>
      <c r="D2502" s="936"/>
      <c r="E2502" s="936"/>
      <c r="AH2502" s="983"/>
      <c r="AI2502" s="983"/>
      <c r="AJ2502" s="968"/>
      <c r="AL2502" s="937"/>
    </row>
    <row r="2503" spans="2:38" s="930" customFormat="1" ht="20.25" customHeight="1" x14ac:dyDescent="0.2">
      <c r="B2503" s="936"/>
      <c r="C2503" s="936"/>
      <c r="D2503" s="936"/>
      <c r="E2503" s="936"/>
      <c r="AH2503" s="983"/>
      <c r="AI2503" s="983"/>
      <c r="AJ2503" s="968"/>
      <c r="AL2503" s="937"/>
    </row>
    <row r="2504" spans="2:38" s="930" customFormat="1" ht="20.25" customHeight="1" x14ac:dyDescent="0.2">
      <c r="B2504" s="936"/>
      <c r="C2504" s="936"/>
      <c r="D2504" s="936"/>
      <c r="E2504" s="936"/>
      <c r="AH2504" s="983"/>
      <c r="AI2504" s="983"/>
      <c r="AJ2504" s="968"/>
      <c r="AL2504" s="937"/>
    </row>
    <row r="2505" spans="2:38" s="930" customFormat="1" ht="20.25" customHeight="1" x14ac:dyDescent="0.2">
      <c r="B2505" s="936"/>
      <c r="C2505" s="936"/>
      <c r="D2505" s="936"/>
      <c r="E2505" s="936"/>
      <c r="AH2505" s="983"/>
      <c r="AI2505" s="983"/>
      <c r="AJ2505" s="968"/>
      <c r="AL2505" s="937"/>
    </row>
    <row r="2506" spans="2:38" s="930" customFormat="1" ht="20.25" customHeight="1" x14ac:dyDescent="0.2">
      <c r="B2506" s="936"/>
      <c r="C2506" s="936"/>
      <c r="D2506" s="936"/>
      <c r="E2506" s="936"/>
      <c r="AH2506" s="983"/>
      <c r="AI2506" s="983"/>
      <c r="AJ2506" s="968"/>
      <c r="AL2506" s="937"/>
    </row>
    <row r="2507" spans="2:38" s="930" customFormat="1" ht="20.25" customHeight="1" x14ac:dyDescent="0.2">
      <c r="B2507" s="936"/>
      <c r="C2507" s="936"/>
      <c r="D2507" s="936"/>
      <c r="E2507" s="936"/>
      <c r="AH2507" s="983"/>
      <c r="AI2507" s="983"/>
      <c r="AJ2507" s="968"/>
      <c r="AL2507" s="937"/>
    </row>
    <row r="2508" spans="2:38" s="930" customFormat="1" ht="20.25" customHeight="1" x14ac:dyDescent="0.2">
      <c r="B2508" s="936"/>
      <c r="C2508" s="936"/>
      <c r="D2508" s="936"/>
      <c r="E2508" s="936"/>
      <c r="AH2508" s="983"/>
      <c r="AI2508" s="983"/>
      <c r="AJ2508" s="968"/>
      <c r="AL2508" s="937"/>
    </row>
    <row r="2509" spans="2:38" s="930" customFormat="1" ht="20.25" customHeight="1" x14ac:dyDescent="0.2">
      <c r="B2509" s="936"/>
      <c r="C2509" s="936"/>
      <c r="D2509" s="936"/>
      <c r="E2509" s="936"/>
      <c r="AH2509" s="983"/>
      <c r="AI2509" s="983"/>
      <c r="AJ2509" s="968"/>
      <c r="AL2509" s="937"/>
    </row>
    <row r="2510" spans="2:38" s="930" customFormat="1" ht="20.25" customHeight="1" x14ac:dyDescent="0.2">
      <c r="B2510" s="936"/>
      <c r="C2510" s="936"/>
      <c r="D2510" s="936"/>
      <c r="E2510" s="936"/>
      <c r="AH2510" s="983"/>
      <c r="AI2510" s="983"/>
      <c r="AJ2510" s="968"/>
      <c r="AL2510" s="937"/>
    </row>
    <row r="2511" spans="2:38" s="930" customFormat="1" ht="20.25" customHeight="1" x14ac:dyDescent="0.2">
      <c r="B2511" s="936"/>
      <c r="C2511" s="936"/>
      <c r="D2511" s="936"/>
      <c r="E2511" s="936"/>
      <c r="AH2511" s="983"/>
      <c r="AI2511" s="983"/>
      <c r="AJ2511" s="968"/>
      <c r="AL2511" s="937"/>
    </row>
    <row r="2512" spans="2:38" s="930" customFormat="1" ht="20.25" customHeight="1" x14ac:dyDescent="0.2">
      <c r="B2512" s="936"/>
      <c r="C2512" s="936"/>
      <c r="D2512" s="936"/>
      <c r="E2512" s="936"/>
      <c r="AH2512" s="983"/>
      <c r="AI2512" s="983"/>
      <c r="AJ2512" s="968"/>
      <c r="AL2512" s="937"/>
    </row>
    <row r="2513" spans="2:38" s="930" customFormat="1" ht="20.25" customHeight="1" x14ac:dyDescent="0.2">
      <c r="B2513" s="936"/>
      <c r="C2513" s="936"/>
      <c r="D2513" s="936"/>
      <c r="E2513" s="936"/>
      <c r="AH2513" s="983"/>
      <c r="AI2513" s="983"/>
      <c r="AJ2513" s="968"/>
      <c r="AL2513" s="937"/>
    </row>
    <row r="2514" spans="2:38" s="930" customFormat="1" ht="20.25" customHeight="1" x14ac:dyDescent="0.2">
      <c r="B2514" s="936"/>
      <c r="C2514" s="936"/>
      <c r="D2514" s="936"/>
      <c r="E2514" s="936"/>
      <c r="AH2514" s="983"/>
      <c r="AI2514" s="983"/>
      <c r="AJ2514" s="968"/>
      <c r="AL2514" s="937"/>
    </row>
    <row r="2515" spans="2:38" s="930" customFormat="1" ht="20.25" customHeight="1" x14ac:dyDescent="0.2">
      <c r="B2515" s="936"/>
      <c r="C2515" s="936"/>
      <c r="D2515" s="936"/>
      <c r="E2515" s="936"/>
      <c r="AH2515" s="983"/>
      <c r="AI2515" s="983"/>
      <c r="AJ2515" s="968"/>
      <c r="AL2515" s="937"/>
    </row>
    <row r="2516" spans="2:38" s="930" customFormat="1" ht="20.25" customHeight="1" x14ac:dyDescent="0.2">
      <c r="B2516" s="936"/>
      <c r="C2516" s="936"/>
      <c r="D2516" s="936"/>
      <c r="E2516" s="936"/>
      <c r="AH2516" s="983"/>
      <c r="AI2516" s="983"/>
      <c r="AJ2516" s="968"/>
      <c r="AL2516" s="937"/>
    </row>
    <row r="2517" spans="2:38" s="930" customFormat="1" ht="20.25" customHeight="1" x14ac:dyDescent="0.2">
      <c r="B2517" s="936"/>
      <c r="C2517" s="936"/>
      <c r="D2517" s="936"/>
      <c r="E2517" s="936"/>
      <c r="AH2517" s="983"/>
      <c r="AI2517" s="983"/>
      <c r="AJ2517" s="968"/>
      <c r="AL2517" s="937"/>
    </row>
    <row r="2518" spans="2:38" s="930" customFormat="1" ht="20.25" customHeight="1" x14ac:dyDescent="0.2">
      <c r="B2518" s="936"/>
      <c r="C2518" s="936"/>
      <c r="D2518" s="936"/>
      <c r="E2518" s="936"/>
      <c r="AH2518" s="983"/>
      <c r="AI2518" s="983"/>
      <c r="AJ2518" s="968"/>
      <c r="AL2518" s="937"/>
    </row>
    <row r="2519" spans="2:38" s="930" customFormat="1" ht="20.25" customHeight="1" x14ac:dyDescent="0.2">
      <c r="B2519" s="936"/>
      <c r="C2519" s="936"/>
      <c r="D2519" s="936"/>
      <c r="E2519" s="936"/>
      <c r="AH2519" s="983"/>
      <c r="AI2519" s="983"/>
      <c r="AJ2519" s="968"/>
      <c r="AL2519" s="937"/>
    </row>
    <row r="2520" spans="2:38" s="930" customFormat="1" ht="20.25" customHeight="1" x14ac:dyDescent="0.2">
      <c r="B2520" s="936"/>
      <c r="C2520" s="936"/>
      <c r="D2520" s="936"/>
      <c r="E2520" s="936"/>
      <c r="AH2520" s="983"/>
      <c r="AI2520" s="983"/>
      <c r="AJ2520" s="968"/>
      <c r="AL2520" s="937"/>
    </row>
    <row r="2521" spans="2:38" s="930" customFormat="1" ht="20.25" customHeight="1" x14ac:dyDescent="0.2">
      <c r="B2521" s="936"/>
      <c r="C2521" s="936"/>
      <c r="D2521" s="936"/>
      <c r="E2521" s="936"/>
      <c r="AH2521" s="983"/>
      <c r="AI2521" s="983"/>
      <c r="AJ2521" s="968"/>
      <c r="AL2521" s="937"/>
    </row>
    <row r="2522" spans="2:38" s="930" customFormat="1" ht="20.25" customHeight="1" x14ac:dyDescent="0.2">
      <c r="B2522" s="936"/>
      <c r="C2522" s="936"/>
      <c r="D2522" s="936"/>
      <c r="E2522" s="936"/>
      <c r="AH2522" s="983"/>
      <c r="AI2522" s="983"/>
      <c r="AJ2522" s="968"/>
      <c r="AL2522" s="937"/>
    </row>
    <row r="2523" spans="2:38" s="930" customFormat="1" ht="20.25" customHeight="1" x14ac:dyDescent="0.2">
      <c r="B2523" s="936"/>
      <c r="C2523" s="936"/>
      <c r="D2523" s="936"/>
      <c r="E2523" s="936"/>
      <c r="AH2523" s="983"/>
      <c r="AI2523" s="983"/>
      <c r="AJ2523" s="968"/>
      <c r="AL2523" s="937"/>
    </row>
    <row r="2524" spans="2:38" s="930" customFormat="1" ht="20.25" customHeight="1" x14ac:dyDescent="0.2">
      <c r="B2524" s="936"/>
      <c r="C2524" s="936"/>
      <c r="D2524" s="936"/>
      <c r="E2524" s="936"/>
      <c r="AH2524" s="983"/>
      <c r="AI2524" s="983"/>
      <c r="AJ2524" s="968"/>
      <c r="AL2524" s="937"/>
    </row>
    <row r="2525" spans="2:38" s="930" customFormat="1" ht="20.25" customHeight="1" x14ac:dyDescent="0.2">
      <c r="B2525" s="936"/>
      <c r="C2525" s="936"/>
      <c r="D2525" s="936"/>
      <c r="E2525" s="936"/>
      <c r="AH2525" s="983"/>
      <c r="AI2525" s="983"/>
      <c r="AJ2525" s="968"/>
      <c r="AL2525" s="937"/>
    </row>
    <row r="2526" spans="2:38" s="930" customFormat="1" ht="20.25" customHeight="1" x14ac:dyDescent="0.2">
      <c r="B2526" s="936"/>
      <c r="C2526" s="936"/>
      <c r="D2526" s="936"/>
      <c r="E2526" s="936"/>
      <c r="AH2526" s="983"/>
      <c r="AI2526" s="983"/>
      <c r="AJ2526" s="968"/>
      <c r="AL2526" s="937"/>
    </row>
    <row r="2527" spans="2:38" s="930" customFormat="1" ht="20.25" customHeight="1" x14ac:dyDescent="0.2">
      <c r="B2527" s="936"/>
      <c r="C2527" s="936"/>
      <c r="D2527" s="936"/>
      <c r="E2527" s="936"/>
      <c r="AH2527" s="983"/>
      <c r="AI2527" s="983"/>
      <c r="AJ2527" s="968"/>
      <c r="AL2527" s="937"/>
    </row>
    <row r="2528" spans="2:38" s="930" customFormat="1" ht="20.25" customHeight="1" x14ac:dyDescent="0.2">
      <c r="B2528" s="936"/>
      <c r="C2528" s="936"/>
      <c r="D2528" s="936"/>
      <c r="E2528" s="936"/>
      <c r="AH2528" s="983"/>
      <c r="AI2528" s="983"/>
      <c r="AJ2528" s="968"/>
      <c r="AL2528" s="937"/>
    </row>
    <row r="2529" spans="2:38" s="930" customFormat="1" ht="20.25" customHeight="1" x14ac:dyDescent="0.2">
      <c r="B2529" s="936"/>
      <c r="C2529" s="936"/>
      <c r="D2529" s="936"/>
      <c r="E2529" s="936"/>
      <c r="AH2529" s="983"/>
      <c r="AI2529" s="983"/>
      <c r="AJ2529" s="968"/>
      <c r="AL2529" s="937"/>
    </row>
    <row r="2530" spans="2:38" s="930" customFormat="1" ht="20.25" customHeight="1" x14ac:dyDescent="0.2">
      <c r="B2530" s="936"/>
      <c r="C2530" s="936"/>
      <c r="D2530" s="936"/>
      <c r="E2530" s="936"/>
      <c r="AH2530" s="983"/>
      <c r="AI2530" s="983"/>
      <c r="AJ2530" s="968"/>
      <c r="AL2530" s="937"/>
    </row>
    <row r="2531" spans="2:38" s="930" customFormat="1" ht="20.25" customHeight="1" x14ac:dyDescent="0.2">
      <c r="B2531" s="936"/>
      <c r="C2531" s="936"/>
      <c r="D2531" s="936"/>
      <c r="E2531" s="936"/>
      <c r="AH2531" s="983"/>
      <c r="AI2531" s="983"/>
      <c r="AJ2531" s="968"/>
      <c r="AL2531" s="937"/>
    </row>
    <row r="2532" spans="2:38" s="930" customFormat="1" ht="20.25" customHeight="1" x14ac:dyDescent="0.2">
      <c r="B2532" s="936"/>
      <c r="C2532" s="936"/>
      <c r="D2532" s="936"/>
      <c r="E2532" s="936"/>
      <c r="AH2532" s="983"/>
      <c r="AI2532" s="983"/>
      <c r="AJ2532" s="968"/>
      <c r="AL2532" s="937"/>
    </row>
    <row r="2533" spans="2:38" s="930" customFormat="1" ht="20.25" customHeight="1" x14ac:dyDescent="0.2">
      <c r="B2533" s="936"/>
      <c r="C2533" s="936"/>
      <c r="D2533" s="936"/>
      <c r="E2533" s="936"/>
      <c r="AH2533" s="983"/>
      <c r="AI2533" s="983"/>
      <c r="AJ2533" s="968"/>
      <c r="AL2533" s="937"/>
    </row>
    <row r="2534" spans="2:38" s="930" customFormat="1" ht="20.25" customHeight="1" x14ac:dyDescent="0.2">
      <c r="B2534" s="936"/>
      <c r="C2534" s="936"/>
      <c r="D2534" s="936"/>
      <c r="E2534" s="936"/>
      <c r="AH2534" s="983"/>
      <c r="AI2534" s="983"/>
      <c r="AJ2534" s="968"/>
      <c r="AL2534" s="937"/>
    </row>
    <row r="2535" spans="2:38" s="930" customFormat="1" ht="20.25" customHeight="1" x14ac:dyDescent="0.2">
      <c r="B2535" s="936"/>
      <c r="C2535" s="936"/>
      <c r="D2535" s="936"/>
      <c r="E2535" s="936"/>
      <c r="AH2535" s="983"/>
      <c r="AI2535" s="983"/>
      <c r="AJ2535" s="968"/>
      <c r="AL2535" s="937"/>
    </row>
    <row r="2536" spans="2:38" s="930" customFormat="1" ht="20.25" customHeight="1" x14ac:dyDescent="0.2">
      <c r="B2536" s="936"/>
      <c r="C2536" s="936"/>
      <c r="D2536" s="936"/>
      <c r="E2536" s="936"/>
      <c r="AH2536" s="983"/>
      <c r="AI2536" s="983"/>
      <c r="AJ2536" s="968"/>
      <c r="AL2536" s="937"/>
    </row>
    <row r="2537" spans="2:38" s="930" customFormat="1" ht="20.25" customHeight="1" x14ac:dyDescent="0.2">
      <c r="B2537" s="936"/>
      <c r="C2537" s="936"/>
      <c r="D2537" s="936"/>
      <c r="E2537" s="936"/>
      <c r="AH2537" s="983"/>
      <c r="AI2537" s="983"/>
      <c r="AJ2537" s="968"/>
      <c r="AL2537" s="937"/>
    </row>
    <row r="2538" spans="2:38" s="930" customFormat="1" ht="20.25" customHeight="1" x14ac:dyDescent="0.2">
      <c r="B2538" s="936"/>
      <c r="C2538" s="936"/>
      <c r="D2538" s="936"/>
      <c r="E2538" s="936"/>
      <c r="AH2538" s="983"/>
      <c r="AI2538" s="983"/>
      <c r="AJ2538" s="968"/>
      <c r="AL2538" s="937"/>
    </row>
    <row r="2539" spans="2:38" s="930" customFormat="1" ht="20.25" customHeight="1" x14ac:dyDescent="0.2">
      <c r="B2539" s="936"/>
      <c r="C2539" s="936"/>
      <c r="D2539" s="936"/>
      <c r="E2539" s="936"/>
      <c r="AH2539" s="983"/>
      <c r="AI2539" s="983"/>
      <c r="AJ2539" s="968"/>
      <c r="AL2539" s="937"/>
    </row>
    <row r="2540" spans="2:38" s="930" customFormat="1" ht="20.25" customHeight="1" x14ac:dyDescent="0.2">
      <c r="B2540" s="936"/>
      <c r="C2540" s="936"/>
      <c r="D2540" s="936"/>
      <c r="E2540" s="936"/>
      <c r="AH2540" s="983"/>
      <c r="AI2540" s="983"/>
      <c r="AJ2540" s="968"/>
      <c r="AL2540" s="937"/>
    </row>
    <row r="2541" spans="2:38" s="930" customFormat="1" ht="20.25" customHeight="1" x14ac:dyDescent="0.2">
      <c r="B2541" s="936"/>
      <c r="C2541" s="936"/>
      <c r="D2541" s="936"/>
      <c r="E2541" s="936"/>
      <c r="AH2541" s="983"/>
      <c r="AI2541" s="983"/>
      <c r="AJ2541" s="968"/>
      <c r="AL2541" s="937"/>
    </row>
    <row r="2542" spans="2:38" s="930" customFormat="1" ht="20.25" customHeight="1" x14ac:dyDescent="0.2">
      <c r="B2542" s="936"/>
      <c r="C2542" s="936"/>
      <c r="D2542" s="936"/>
      <c r="E2542" s="936"/>
      <c r="AH2542" s="983"/>
      <c r="AI2542" s="983"/>
      <c r="AJ2542" s="968"/>
      <c r="AL2542" s="937"/>
    </row>
    <row r="2543" spans="2:38" s="930" customFormat="1" ht="20.25" customHeight="1" x14ac:dyDescent="0.2">
      <c r="B2543" s="936"/>
      <c r="C2543" s="936"/>
      <c r="D2543" s="936"/>
      <c r="E2543" s="936"/>
      <c r="AH2543" s="983"/>
      <c r="AI2543" s="983"/>
      <c r="AJ2543" s="968"/>
      <c r="AL2543" s="937"/>
    </row>
    <row r="2544" spans="2:38" s="930" customFormat="1" ht="20.25" customHeight="1" x14ac:dyDescent="0.2">
      <c r="B2544" s="936"/>
      <c r="C2544" s="936"/>
      <c r="D2544" s="936"/>
      <c r="E2544" s="936"/>
      <c r="AH2544" s="983"/>
      <c r="AI2544" s="983"/>
      <c r="AJ2544" s="968"/>
      <c r="AL2544" s="937"/>
    </row>
    <row r="2545" spans="2:38" s="930" customFormat="1" ht="20.25" customHeight="1" x14ac:dyDescent="0.2">
      <c r="B2545" s="936"/>
      <c r="C2545" s="936"/>
      <c r="D2545" s="936"/>
      <c r="E2545" s="936"/>
      <c r="AH2545" s="983"/>
      <c r="AI2545" s="983"/>
      <c r="AJ2545" s="968"/>
      <c r="AL2545" s="937"/>
    </row>
    <row r="2546" spans="2:38" s="930" customFormat="1" ht="20.25" customHeight="1" x14ac:dyDescent="0.2">
      <c r="B2546" s="936"/>
      <c r="C2546" s="936"/>
      <c r="D2546" s="936"/>
      <c r="E2546" s="936"/>
      <c r="AH2546" s="983"/>
      <c r="AI2546" s="983"/>
      <c r="AJ2546" s="968"/>
      <c r="AL2546" s="937"/>
    </row>
    <row r="2547" spans="2:38" s="930" customFormat="1" ht="20.25" customHeight="1" x14ac:dyDescent="0.2">
      <c r="B2547" s="936"/>
      <c r="C2547" s="936"/>
      <c r="D2547" s="936"/>
      <c r="E2547" s="936"/>
      <c r="AH2547" s="983"/>
      <c r="AI2547" s="983"/>
      <c r="AJ2547" s="968"/>
      <c r="AL2547" s="937"/>
    </row>
    <row r="2548" spans="2:38" s="930" customFormat="1" ht="20.25" customHeight="1" x14ac:dyDescent="0.2">
      <c r="B2548" s="936"/>
      <c r="C2548" s="936"/>
      <c r="D2548" s="936"/>
      <c r="E2548" s="936"/>
      <c r="AH2548" s="983"/>
      <c r="AI2548" s="983"/>
      <c r="AJ2548" s="968"/>
      <c r="AL2548" s="937"/>
    </row>
    <row r="2549" spans="2:38" s="930" customFormat="1" ht="20.25" customHeight="1" x14ac:dyDescent="0.2">
      <c r="B2549" s="936"/>
      <c r="C2549" s="936"/>
      <c r="D2549" s="936"/>
      <c r="E2549" s="936"/>
      <c r="AH2549" s="983"/>
      <c r="AI2549" s="983"/>
      <c r="AJ2549" s="968"/>
      <c r="AL2549" s="937"/>
    </row>
    <row r="2550" spans="2:38" s="930" customFormat="1" ht="20.25" customHeight="1" x14ac:dyDescent="0.2">
      <c r="B2550" s="936"/>
      <c r="C2550" s="936"/>
      <c r="D2550" s="936"/>
      <c r="E2550" s="936"/>
      <c r="AH2550" s="983"/>
      <c r="AI2550" s="983"/>
      <c r="AJ2550" s="968"/>
      <c r="AL2550" s="937"/>
    </row>
    <row r="2551" spans="2:38" s="930" customFormat="1" ht="20.25" customHeight="1" x14ac:dyDescent="0.2">
      <c r="B2551" s="936"/>
      <c r="C2551" s="936"/>
      <c r="D2551" s="936"/>
      <c r="E2551" s="936"/>
      <c r="AH2551" s="983"/>
      <c r="AI2551" s="983"/>
      <c r="AJ2551" s="968"/>
      <c r="AL2551" s="937"/>
    </row>
    <row r="2552" spans="2:38" s="930" customFormat="1" ht="20.25" customHeight="1" x14ac:dyDescent="0.2">
      <c r="B2552" s="936"/>
      <c r="C2552" s="936"/>
      <c r="D2552" s="936"/>
      <c r="E2552" s="936"/>
      <c r="AH2552" s="983"/>
      <c r="AI2552" s="983"/>
      <c r="AJ2552" s="968"/>
      <c r="AL2552" s="937"/>
    </row>
    <row r="2553" spans="2:38" s="930" customFormat="1" ht="20.25" customHeight="1" x14ac:dyDescent="0.2">
      <c r="B2553" s="936"/>
      <c r="C2553" s="936"/>
      <c r="D2553" s="936"/>
      <c r="E2553" s="936"/>
      <c r="AH2553" s="983"/>
      <c r="AI2553" s="983"/>
      <c r="AJ2553" s="968"/>
      <c r="AL2553" s="937"/>
    </row>
    <row r="2554" spans="2:38" s="930" customFormat="1" ht="20.25" customHeight="1" x14ac:dyDescent="0.2">
      <c r="B2554" s="936"/>
      <c r="C2554" s="936"/>
      <c r="D2554" s="936"/>
      <c r="E2554" s="936"/>
      <c r="AH2554" s="983"/>
      <c r="AI2554" s="983"/>
      <c r="AJ2554" s="968"/>
      <c r="AL2554" s="937"/>
    </row>
    <row r="2555" spans="2:38" s="930" customFormat="1" ht="20.25" customHeight="1" x14ac:dyDescent="0.2">
      <c r="B2555" s="936"/>
      <c r="C2555" s="936"/>
      <c r="D2555" s="936"/>
      <c r="E2555" s="936"/>
      <c r="AH2555" s="983"/>
      <c r="AI2555" s="983"/>
      <c r="AJ2555" s="968"/>
      <c r="AL2555" s="937"/>
    </row>
    <row r="2556" spans="2:38" s="930" customFormat="1" ht="20.25" customHeight="1" x14ac:dyDescent="0.2">
      <c r="B2556" s="936"/>
      <c r="C2556" s="936"/>
      <c r="D2556" s="936"/>
      <c r="E2556" s="936"/>
      <c r="AH2556" s="983"/>
      <c r="AI2556" s="983"/>
      <c r="AJ2556" s="968"/>
      <c r="AL2556" s="937"/>
    </row>
    <row r="2557" spans="2:38" s="930" customFormat="1" ht="20.25" customHeight="1" x14ac:dyDescent="0.2">
      <c r="B2557" s="936"/>
      <c r="C2557" s="936"/>
      <c r="D2557" s="936"/>
      <c r="E2557" s="936"/>
      <c r="AH2557" s="983"/>
      <c r="AI2557" s="983"/>
      <c r="AJ2557" s="968"/>
      <c r="AL2557" s="937"/>
    </row>
    <row r="2558" spans="2:38" s="930" customFormat="1" ht="20.25" customHeight="1" x14ac:dyDescent="0.2">
      <c r="B2558" s="936"/>
      <c r="C2558" s="936"/>
      <c r="D2558" s="936"/>
      <c r="E2558" s="936"/>
      <c r="AH2558" s="983"/>
      <c r="AI2558" s="983"/>
      <c r="AJ2558" s="968"/>
      <c r="AL2558" s="937"/>
    </row>
    <row r="2559" spans="2:38" s="930" customFormat="1" ht="20.25" customHeight="1" x14ac:dyDescent="0.2">
      <c r="B2559" s="936"/>
      <c r="C2559" s="936"/>
      <c r="D2559" s="936"/>
      <c r="E2559" s="936"/>
      <c r="AH2559" s="983"/>
      <c r="AI2559" s="983"/>
      <c r="AJ2559" s="968"/>
      <c r="AL2559" s="937"/>
    </row>
    <row r="2560" spans="2:38" s="930" customFormat="1" ht="20.25" customHeight="1" x14ac:dyDescent="0.2">
      <c r="B2560" s="936"/>
      <c r="C2560" s="936"/>
      <c r="D2560" s="936"/>
      <c r="E2560" s="936"/>
      <c r="AH2560" s="983"/>
      <c r="AI2560" s="983"/>
      <c r="AJ2560" s="968"/>
      <c r="AL2560" s="937"/>
    </row>
    <row r="2561" spans="2:38" s="930" customFormat="1" ht="20.25" customHeight="1" x14ac:dyDescent="0.2">
      <c r="B2561" s="936"/>
      <c r="C2561" s="936"/>
      <c r="D2561" s="936"/>
      <c r="E2561" s="936"/>
      <c r="AH2561" s="983"/>
      <c r="AI2561" s="983"/>
      <c r="AJ2561" s="968"/>
      <c r="AL2561" s="937"/>
    </row>
    <row r="2562" spans="2:38" s="930" customFormat="1" ht="20.25" customHeight="1" x14ac:dyDescent="0.2">
      <c r="B2562" s="936"/>
      <c r="C2562" s="936"/>
      <c r="D2562" s="936"/>
      <c r="E2562" s="936"/>
      <c r="AH2562" s="983"/>
      <c r="AI2562" s="983"/>
      <c r="AJ2562" s="968"/>
      <c r="AL2562" s="937"/>
    </row>
    <row r="2563" spans="2:38" s="930" customFormat="1" ht="20.25" customHeight="1" x14ac:dyDescent="0.2">
      <c r="B2563" s="936"/>
      <c r="C2563" s="936"/>
      <c r="D2563" s="936"/>
      <c r="E2563" s="936"/>
      <c r="AH2563" s="983"/>
      <c r="AI2563" s="983"/>
      <c r="AJ2563" s="968"/>
      <c r="AL2563" s="937"/>
    </row>
    <row r="2564" spans="2:38" s="930" customFormat="1" ht="20.25" customHeight="1" x14ac:dyDescent="0.2">
      <c r="B2564" s="936"/>
      <c r="C2564" s="936"/>
      <c r="D2564" s="936"/>
      <c r="E2564" s="936"/>
      <c r="AH2564" s="983"/>
      <c r="AI2564" s="983"/>
      <c r="AJ2564" s="968"/>
      <c r="AL2564" s="937"/>
    </row>
    <row r="2565" spans="2:38" s="930" customFormat="1" ht="20.25" customHeight="1" x14ac:dyDescent="0.2">
      <c r="B2565" s="936"/>
      <c r="C2565" s="936"/>
      <c r="D2565" s="936"/>
      <c r="E2565" s="936"/>
      <c r="AH2565" s="983"/>
      <c r="AI2565" s="983"/>
      <c r="AJ2565" s="968"/>
      <c r="AL2565" s="937"/>
    </row>
    <row r="2566" spans="2:38" s="930" customFormat="1" ht="20.25" customHeight="1" x14ac:dyDescent="0.2">
      <c r="B2566" s="936"/>
      <c r="C2566" s="936"/>
      <c r="D2566" s="936"/>
      <c r="E2566" s="936"/>
      <c r="AH2566" s="983"/>
      <c r="AI2566" s="983"/>
      <c r="AJ2566" s="968"/>
      <c r="AL2566" s="937"/>
    </row>
    <row r="2567" spans="2:38" s="930" customFormat="1" ht="20.25" customHeight="1" x14ac:dyDescent="0.2">
      <c r="B2567" s="936"/>
      <c r="C2567" s="936"/>
      <c r="D2567" s="936"/>
      <c r="E2567" s="936"/>
      <c r="AH2567" s="983"/>
      <c r="AI2567" s="983"/>
      <c r="AJ2567" s="968"/>
      <c r="AL2567" s="937"/>
    </row>
    <row r="2568" spans="2:38" s="930" customFormat="1" ht="20.25" customHeight="1" x14ac:dyDescent="0.2">
      <c r="B2568" s="936"/>
      <c r="C2568" s="936"/>
      <c r="D2568" s="936"/>
      <c r="E2568" s="936"/>
      <c r="AH2568" s="983"/>
      <c r="AI2568" s="983"/>
      <c r="AJ2568" s="968"/>
      <c r="AL2568" s="937"/>
    </row>
    <row r="2569" spans="2:38" s="930" customFormat="1" ht="20.25" customHeight="1" x14ac:dyDescent="0.2">
      <c r="B2569" s="936"/>
      <c r="C2569" s="936"/>
      <c r="D2569" s="936"/>
      <c r="E2569" s="936"/>
      <c r="AH2569" s="983"/>
      <c r="AI2569" s="983"/>
      <c r="AJ2569" s="968"/>
      <c r="AL2569" s="937"/>
    </row>
    <row r="2570" spans="2:38" s="930" customFormat="1" ht="20.25" customHeight="1" x14ac:dyDescent="0.2">
      <c r="B2570" s="936"/>
      <c r="C2570" s="936"/>
      <c r="D2570" s="936"/>
      <c r="E2570" s="936"/>
      <c r="AH2570" s="983"/>
      <c r="AI2570" s="983"/>
      <c r="AJ2570" s="968"/>
      <c r="AL2570" s="937"/>
    </row>
    <row r="2571" spans="2:38" s="930" customFormat="1" ht="20.25" customHeight="1" x14ac:dyDescent="0.2">
      <c r="B2571" s="936"/>
      <c r="C2571" s="936"/>
      <c r="D2571" s="936"/>
      <c r="E2571" s="936"/>
      <c r="AH2571" s="983"/>
      <c r="AI2571" s="983"/>
      <c r="AJ2571" s="968"/>
      <c r="AL2571" s="937"/>
    </row>
    <row r="2572" spans="2:38" s="930" customFormat="1" ht="20.25" customHeight="1" x14ac:dyDescent="0.2">
      <c r="B2572" s="936"/>
      <c r="C2572" s="936"/>
      <c r="D2572" s="936"/>
      <c r="E2572" s="936"/>
      <c r="AH2572" s="983"/>
      <c r="AI2572" s="983"/>
      <c r="AJ2572" s="968"/>
      <c r="AL2572" s="937"/>
    </row>
    <row r="2573" spans="2:38" s="930" customFormat="1" ht="20.25" customHeight="1" x14ac:dyDescent="0.2">
      <c r="B2573" s="936"/>
      <c r="C2573" s="936"/>
      <c r="D2573" s="936"/>
      <c r="E2573" s="936"/>
      <c r="AH2573" s="983"/>
      <c r="AI2573" s="983"/>
      <c r="AJ2573" s="968"/>
      <c r="AL2573" s="937"/>
    </row>
    <row r="2574" spans="2:38" s="930" customFormat="1" ht="20.25" customHeight="1" x14ac:dyDescent="0.2">
      <c r="B2574" s="936"/>
      <c r="C2574" s="936"/>
      <c r="D2574" s="936"/>
      <c r="E2574" s="936"/>
      <c r="AH2574" s="983"/>
      <c r="AI2574" s="983"/>
      <c r="AJ2574" s="968"/>
      <c r="AL2574" s="937"/>
    </row>
    <row r="2575" spans="2:38" s="930" customFormat="1" ht="20.25" customHeight="1" x14ac:dyDescent="0.2">
      <c r="B2575" s="936"/>
      <c r="C2575" s="936"/>
      <c r="D2575" s="936"/>
      <c r="E2575" s="936"/>
      <c r="AH2575" s="983"/>
      <c r="AI2575" s="983"/>
      <c r="AJ2575" s="968"/>
      <c r="AL2575" s="937"/>
    </row>
    <row r="2576" spans="2:38" s="930" customFormat="1" ht="20.25" customHeight="1" x14ac:dyDescent="0.2">
      <c r="B2576" s="936"/>
      <c r="C2576" s="936"/>
      <c r="D2576" s="936"/>
      <c r="E2576" s="936"/>
      <c r="AH2576" s="983"/>
      <c r="AI2576" s="983"/>
      <c r="AJ2576" s="968"/>
      <c r="AL2576" s="937"/>
    </row>
    <row r="2577" spans="2:38" s="930" customFormat="1" ht="20.25" customHeight="1" x14ac:dyDescent="0.2">
      <c r="B2577" s="936"/>
      <c r="C2577" s="936"/>
      <c r="D2577" s="936"/>
      <c r="E2577" s="936"/>
      <c r="AH2577" s="983"/>
      <c r="AI2577" s="983"/>
      <c r="AJ2577" s="968"/>
      <c r="AL2577" s="937"/>
    </row>
    <row r="2578" spans="2:38" s="930" customFormat="1" ht="20.25" customHeight="1" x14ac:dyDescent="0.2">
      <c r="B2578" s="936"/>
      <c r="C2578" s="936"/>
      <c r="D2578" s="936"/>
      <c r="E2578" s="936"/>
      <c r="AH2578" s="983"/>
      <c r="AI2578" s="983"/>
      <c r="AJ2578" s="968"/>
      <c r="AL2578" s="937"/>
    </row>
    <row r="2579" spans="2:38" s="930" customFormat="1" ht="20.25" customHeight="1" x14ac:dyDescent="0.2">
      <c r="B2579" s="936"/>
      <c r="C2579" s="936"/>
      <c r="D2579" s="936"/>
      <c r="E2579" s="936"/>
      <c r="AH2579" s="983"/>
      <c r="AI2579" s="983"/>
      <c r="AJ2579" s="968"/>
      <c r="AL2579" s="937"/>
    </row>
    <row r="2580" spans="2:38" s="930" customFormat="1" ht="20.25" customHeight="1" x14ac:dyDescent="0.2">
      <c r="B2580" s="936"/>
      <c r="C2580" s="936"/>
      <c r="D2580" s="936"/>
      <c r="E2580" s="936"/>
      <c r="AH2580" s="983"/>
      <c r="AI2580" s="983"/>
      <c r="AJ2580" s="968"/>
      <c r="AL2580" s="937"/>
    </row>
    <row r="2581" spans="2:38" s="930" customFormat="1" ht="20.25" customHeight="1" x14ac:dyDescent="0.2">
      <c r="B2581" s="936"/>
      <c r="C2581" s="936"/>
      <c r="D2581" s="936"/>
      <c r="E2581" s="936"/>
      <c r="AH2581" s="983"/>
      <c r="AI2581" s="983"/>
      <c r="AJ2581" s="968"/>
      <c r="AL2581" s="937"/>
    </row>
    <row r="2582" spans="2:38" s="930" customFormat="1" ht="20.25" customHeight="1" x14ac:dyDescent="0.2">
      <c r="B2582" s="936"/>
      <c r="C2582" s="936"/>
      <c r="D2582" s="936"/>
      <c r="E2582" s="936"/>
      <c r="AH2582" s="983"/>
      <c r="AI2582" s="983"/>
      <c r="AJ2582" s="968"/>
      <c r="AL2582" s="937"/>
    </row>
    <row r="2583" spans="2:38" s="930" customFormat="1" ht="20.25" customHeight="1" x14ac:dyDescent="0.2">
      <c r="B2583" s="936"/>
      <c r="C2583" s="936"/>
      <c r="D2583" s="936"/>
      <c r="E2583" s="936"/>
      <c r="AH2583" s="983"/>
      <c r="AI2583" s="983"/>
      <c r="AJ2583" s="968"/>
      <c r="AL2583" s="937"/>
    </row>
    <row r="2584" spans="2:38" s="930" customFormat="1" ht="20.25" customHeight="1" x14ac:dyDescent="0.2">
      <c r="B2584" s="936"/>
      <c r="C2584" s="936"/>
      <c r="D2584" s="936"/>
      <c r="E2584" s="936"/>
      <c r="AH2584" s="983"/>
      <c r="AI2584" s="983"/>
      <c r="AJ2584" s="968"/>
      <c r="AL2584" s="937"/>
    </row>
    <row r="2585" spans="2:38" s="930" customFormat="1" ht="20.25" customHeight="1" x14ac:dyDescent="0.2">
      <c r="B2585" s="936"/>
      <c r="C2585" s="936"/>
      <c r="D2585" s="936"/>
      <c r="E2585" s="936"/>
      <c r="AH2585" s="983"/>
      <c r="AI2585" s="983"/>
      <c r="AJ2585" s="968"/>
      <c r="AL2585" s="937"/>
    </row>
    <row r="2586" spans="2:38" s="930" customFormat="1" ht="20.25" customHeight="1" x14ac:dyDescent="0.2">
      <c r="B2586" s="936"/>
      <c r="C2586" s="936"/>
      <c r="D2586" s="936"/>
      <c r="E2586" s="936"/>
      <c r="AH2586" s="983"/>
      <c r="AI2586" s="983"/>
      <c r="AJ2586" s="968"/>
      <c r="AL2586" s="937"/>
    </row>
    <row r="2587" spans="2:38" s="930" customFormat="1" ht="20.25" customHeight="1" x14ac:dyDescent="0.2">
      <c r="B2587" s="936"/>
      <c r="C2587" s="936"/>
      <c r="D2587" s="936"/>
      <c r="E2587" s="936"/>
      <c r="AH2587" s="983"/>
      <c r="AI2587" s="983"/>
      <c r="AJ2587" s="968"/>
      <c r="AL2587" s="937"/>
    </row>
    <row r="2588" spans="2:38" s="930" customFormat="1" ht="20.25" customHeight="1" x14ac:dyDescent="0.2">
      <c r="B2588" s="936"/>
      <c r="C2588" s="936"/>
      <c r="D2588" s="936"/>
      <c r="E2588" s="936"/>
      <c r="AH2588" s="983"/>
      <c r="AI2588" s="983"/>
      <c r="AJ2588" s="968"/>
      <c r="AL2588" s="937"/>
    </row>
    <row r="2589" spans="2:38" s="930" customFormat="1" ht="20.25" customHeight="1" x14ac:dyDescent="0.2">
      <c r="B2589" s="936"/>
      <c r="C2589" s="936"/>
      <c r="D2589" s="936"/>
      <c r="E2589" s="936"/>
      <c r="AH2589" s="983"/>
      <c r="AI2589" s="983"/>
      <c r="AJ2589" s="968"/>
      <c r="AL2589" s="937"/>
    </row>
    <row r="2590" spans="2:38" s="930" customFormat="1" ht="20.25" customHeight="1" x14ac:dyDescent="0.2">
      <c r="B2590" s="936"/>
      <c r="C2590" s="936"/>
      <c r="D2590" s="936"/>
      <c r="E2590" s="936"/>
      <c r="AH2590" s="983"/>
      <c r="AI2590" s="983"/>
      <c r="AJ2590" s="968"/>
      <c r="AL2590" s="937"/>
    </row>
    <row r="2591" spans="2:38" s="930" customFormat="1" ht="20.25" customHeight="1" x14ac:dyDescent="0.2">
      <c r="B2591" s="936"/>
      <c r="C2591" s="936"/>
      <c r="D2591" s="936"/>
      <c r="E2591" s="936"/>
      <c r="AH2591" s="983"/>
      <c r="AI2591" s="983"/>
      <c r="AJ2591" s="968"/>
      <c r="AL2591" s="937"/>
    </row>
    <row r="2592" spans="2:38" s="930" customFormat="1" ht="20.25" customHeight="1" x14ac:dyDescent="0.2">
      <c r="B2592" s="936"/>
      <c r="C2592" s="936"/>
      <c r="D2592" s="936"/>
      <c r="E2592" s="936"/>
      <c r="AH2592" s="983"/>
      <c r="AI2592" s="983"/>
      <c r="AJ2592" s="968"/>
      <c r="AL2592" s="937"/>
    </row>
    <row r="2593" spans="2:38" s="930" customFormat="1" ht="20.25" customHeight="1" x14ac:dyDescent="0.2">
      <c r="B2593" s="936"/>
      <c r="C2593" s="936"/>
      <c r="D2593" s="936"/>
      <c r="E2593" s="936"/>
      <c r="AH2593" s="983"/>
      <c r="AI2593" s="983"/>
      <c r="AJ2593" s="968"/>
      <c r="AL2593" s="937"/>
    </row>
    <row r="2594" spans="2:38" s="930" customFormat="1" ht="20.25" customHeight="1" x14ac:dyDescent="0.2">
      <c r="B2594" s="936"/>
      <c r="C2594" s="936"/>
      <c r="D2594" s="936"/>
      <c r="E2594" s="936"/>
      <c r="AH2594" s="983"/>
      <c r="AI2594" s="983"/>
      <c r="AJ2594" s="968"/>
      <c r="AL2594" s="937"/>
    </row>
    <row r="2595" spans="2:38" s="930" customFormat="1" ht="20.25" customHeight="1" x14ac:dyDescent="0.2">
      <c r="B2595" s="936"/>
      <c r="C2595" s="936"/>
      <c r="D2595" s="936"/>
      <c r="E2595" s="936"/>
      <c r="AH2595" s="983"/>
      <c r="AI2595" s="983"/>
      <c r="AJ2595" s="968"/>
      <c r="AL2595" s="937"/>
    </row>
    <row r="2596" spans="2:38" s="930" customFormat="1" ht="20.25" customHeight="1" x14ac:dyDescent="0.2">
      <c r="B2596" s="936"/>
      <c r="C2596" s="936"/>
      <c r="D2596" s="936"/>
      <c r="E2596" s="936"/>
      <c r="AH2596" s="983"/>
      <c r="AI2596" s="983"/>
      <c r="AJ2596" s="968"/>
      <c r="AL2596" s="937"/>
    </row>
    <row r="2597" spans="2:38" s="930" customFormat="1" ht="20.25" customHeight="1" x14ac:dyDescent="0.2">
      <c r="B2597" s="936"/>
      <c r="C2597" s="936"/>
      <c r="D2597" s="936"/>
      <c r="E2597" s="936"/>
      <c r="AH2597" s="983"/>
      <c r="AI2597" s="983"/>
      <c r="AJ2597" s="968"/>
      <c r="AL2597" s="937"/>
    </row>
    <row r="2598" spans="2:38" s="930" customFormat="1" ht="20.25" customHeight="1" x14ac:dyDescent="0.2">
      <c r="B2598" s="936"/>
      <c r="C2598" s="936"/>
      <c r="D2598" s="936"/>
      <c r="E2598" s="936"/>
      <c r="AH2598" s="983"/>
      <c r="AI2598" s="983"/>
      <c r="AJ2598" s="968"/>
      <c r="AL2598" s="937"/>
    </row>
    <row r="2599" spans="2:38" s="930" customFormat="1" ht="20.25" customHeight="1" x14ac:dyDescent="0.2">
      <c r="B2599" s="936"/>
      <c r="C2599" s="936"/>
      <c r="D2599" s="936"/>
      <c r="E2599" s="936"/>
      <c r="AH2599" s="983"/>
      <c r="AI2599" s="983"/>
      <c r="AJ2599" s="968"/>
      <c r="AL2599" s="937"/>
    </row>
    <row r="2600" spans="2:38" s="930" customFormat="1" ht="20.25" customHeight="1" x14ac:dyDescent="0.2">
      <c r="B2600" s="936"/>
      <c r="C2600" s="936"/>
      <c r="D2600" s="936"/>
      <c r="E2600" s="936"/>
      <c r="AH2600" s="983"/>
      <c r="AI2600" s="983"/>
      <c r="AJ2600" s="968"/>
      <c r="AL2600" s="937"/>
    </row>
    <row r="2601" spans="2:38" s="930" customFormat="1" ht="20.25" customHeight="1" x14ac:dyDescent="0.2">
      <c r="B2601" s="936"/>
      <c r="C2601" s="936"/>
      <c r="D2601" s="936"/>
      <c r="E2601" s="936"/>
      <c r="AH2601" s="983"/>
      <c r="AI2601" s="983"/>
      <c r="AJ2601" s="968"/>
      <c r="AL2601" s="937"/>
    </row>
    <row r="2602" spans="2:38" s="930" customFormat="1" ht="20.25" customHeight="1" x14ac:dyDescent="0.2">
      <c r="B2602" s="936"/>
      <c r="C2602" s="936"/>
      <c r="D2602" s="936"/>
      <c r="E2602" s="936"/>
      <c r="AH2602" s="983"/>
      <c r="AI2602" s="983"/>
      <c r="AJ2602" s="968"/>
      <c r="AL2602" s="937"/>
    </row>
    <row r="2603" spans="2:38" s="930" customFormat="1" ht="20.25" customHeight="1" x14ac:dyDescent="0.2">
      <c r="B2603" s="936"/>
      <c r="C2603" s="936"/>
      <c r="D2603" s="936"/>
      <c r="E2603" s="936"/>
      <c r="AH2603" s="983"/>
      <c r="AI2603" s="983"/>
      <c r="AJ2603" s="968"/>
      <c r="AL2603" s="937"/>
    </row>
    <row r="2604" spans="2:38" s="930" customFormat="1" ht="20.25" customHeight="1" x14ac:dyDescent="0.2">
      <c r="B2604" s="936"/>
      <c r="C2604" s="936"/>
      <c r="D2604" s="936"/>
      <c r="E2604" s="936"/>
      <c r="AH2604" s="983"/>
      <c r="AI2604" s="983"/>
      <c r="AJ2604" s="968"/>
      <c r="AL2604" s="937"/>
    </row>
    <row r="2605" spans="2:38" s="930" customFormat="1" ht="20.25" customHeight="1" x14ac:dyDescent="0.2">
      <c r="B2605" s="936"/>
      <c r="C2605" s="936"/>
      <c r="D2605" s="936"/>
      <c r="E2605" s="936"/>
      <c r="AH2605" s="983"/>
      <c r="AI2605" s="983"/>
      <c r="AJ2605" s="968"/>
      <c r="AL2605" s="937"/>
    </row>
    <row r="2606" spans="2:38" s="930" customFormat="1" ht="20.25" customHeight="1" x14ac:dyDescent="0.2">
      <c r="B2606" s="936"/>
      <c r="C2606" s="936"/>
      <c r="D2606" s="936"/>
      <c r="E2606" s="936"/>
      <c r="AH2606" s="983"/>
      <c r="AI2606" s="983"/>
      <c r="AJ2606" s="968"/>
      <c r="AL2606" s="937"/>
    </row>
    <row r="2607" spans="2:38" s="930" customFormat="1" ht="20.25" customHeight="1" x14ac:dyDescent="0.2">
      <c r="B2607" s="936"/>
      <c r="C2607" s="936"/>
      <c r="D2607" s="936"/>
      <c r="E2607" s="936"/>
      <c r="AH2607" s="983"/>
      <c r="AI2607" s="983"/>
      <c r="AJ2607" s="968"/>
      <c r="AL2607" s="937"/>
    </row>
    <row r="2608" spans="2:38" s="930" customFormat="1" ht="20.25" customHeight="1" x14ac:dyDescent="0.2">
      <c r="B2608" s="936"/>
      <c r="C2608" s="936"/>
      <c r="D2608" s="936"/>
      <c r="E2608" s="936"/>
      <c r="AH2608" s="983"/>
      <c r="AI2608" s="983"/>
      <c r="AJ2608" s="968"/>
      <c r="AL2608" s="937"/>
    </row>
    <row r="2609" spans="2:38" s="930" customFormat="1" ht="20.25" customHeight="1" x14ac:dyDescent="0.2">
      <c r="B2609" s="936"/>
      <c r="C2609" s="936"/>
      <c r="D2609" s="936"/>
      <c r="E2609" s="936"/>
      <c r="AH2609" s="983"/>
      <c r="AI2609" s="983"/>
      <c r="AJ2609" s="968"/>
      <c r="AL2609" s="937"/>
    </row>
    <row r="2610" spans="2:38" s="930" customFormat="1" ht="20.25" customHeight="1" x14ac:dyDescent="0.2">
      <c r="B2610" s="936"/>
      <c r="C2610" s="936"/>
      <c r="D2610" s="936"/>
      <c r="E2610" s="936"/>
      <c r="AH2610" s="983"/>
      <c r="AI2610" s="983"/>
      <c r="AJ2610" s="968"/>
      <c r="AL2610" s="937"/>
    </row>
    <row r="2611" spans="2:38" s="930" customFormat="1" ht="20.25" customHeight="1" x14ac:dyDescent="0.2">
      <c r="B2611" s="936"/>
      <c r="C2611" s="936"/>
      <c r="D2611" s="936"/>
      <c r="E2611" s="936"/>
      <c r="AH2611" s="983"/>
      <c r="AI2611" s="983"/>
      <c r="AJ2611" s="968"/>
      <c r="AL2611" s="937"/>
    </row>
    <row r="2612" spans="2:38" s="930" customFormat="1" ht="20.25" customHeight="1" x14ac:dyDescent="0.2">
      <c r="B2612" s="936"/>
      <c r="C2612" s="936"/>
      <c r="D2612" s="936"/>
      <c r="E2612" s="936"/>
      <c r="AH2612" s="983"/>
      <c r="AI2612" s="983"/>
      <c r="AJ2612" s="968"/>
      <c r="AL2612" s="937"/>
    </row>
    <row r="2613" spans="2:38" s="930" customFormat="1" ht="20.25" customHeight="1" x14ac:dyDescent="0.2">
      <c r="B2613" s="936"/>
      <c r="C2613" s="936"/>
      <c r="D2613" s="936"/>
      <c r="E2613" s="936"/>
      <c r="AH2613" s="983"/>
      <c r="AI2613" s="983"/>
      <c r="AJ2613" s="968"/>
      <c r="AL2613" s="937"/>
    </row>
    <row r="2614" spans="2:38" s="930" customFormat="1" ht="20.25" customHeight="1" x14ac:dyDescent="0.2">
      <c r="B2614" s="936"/>
      <c r="C2614" s="936"/>
      <c r="D2614" s="936"/>
      <c r="E2614" s="936"/>
      <c r="AH2614" s="983"/>
      <c r="AI2614" s="983"/>
      <c r="AJ2614" s="968"/>
      <c r="AL2614" s="937"/>
    </row>
    <row r="2615" spans="2:38" s="930" customFormat="1" ht="20.25" customHeight="1" x14ac:dyDescent="0.2">
      <c r="B2615" s="936"/>
      <c r="C2615" s="936"/>
      <c r="D2615" s="936"/>
      <c r="E2615" s="936"/>
      <c r="AH2615" s="983"/>
      <c r="AI2615" s="983"/>
      <c r="AJ2615" s="968"/>
      <c r="AL2615" s="937"/>
    </row>
    <row r="2616" spans="2:38" s="930" customFormat="1" ht="20.25" customHeight="1" x14ac:dyDescent="0.2">
      <c r="B2616" s="936"/>
      <c r="C2616" s="936"/>
      <c r="D2616" s="936"/>
      <c r="E2616" s="936"/>
      <c r="AH2616" s="983"/>
      <c r="AI2616" s="983"/>
      <c r="AJ2616" s="968"/>
      <c r="AL2616" s="937"/>
    </row>
    <row r="2617" spans="2:38" s="930" customFormat="1" ht="20.25" customHeight="1" x14ac:dyDescent="0.2">
      <c r="B2617" s="936"/>
      <c r="C2617" s="936"/>
      <c r="D2617" s="936"/>
      <c r="E2617" s="936"/>
      <c r="AH2617" s="983"/>
      <c r="AI2617" s="983"/>
      <c r="AJ2617" s="968"/>
      <c r="AL2617" s="937"/>
    </row>
    <row r="2618" spans="2:38" s="930" customFormat="1" ht="20.25" customHeight="1" x14ac:dyDescent="0.2">
      <c r="B2618" s="936"/>
      <c r="C2618" s="936"/>
      <c r="D2618" s="936"/>
      <c r="E2618" s="936"/>
      <c r="AH2618" s="983"/>
      <c r="AI2618" s="983"/>
      <c r="AJ2618" s="968"/>
      <c r="AL2618" s="937"/>
    </row>
    <row r="2619" spans="2:38" s="930" customFormat="1" ht="20.25" customHeight="1" x14ac:dyDescent="0.2">
      <c r="B2619" s="936"/>
      <c r="C2619" s="936"/>
      <c r="D2619" s="936"/>
      <c r="E2619" s="936"/>
      <c r="AH2619" s="983"/>
      <c r="AI2619" s="983"/>
      <c r="AJ2619" s="968"/>
      <c r="AL2619" s="937"/>
    </row>
    <row r="2620" spans="2:38" s="930" customFormat="1" ht="20.25" customHeight="1" x14ac:dyDescent="0.2">
      <c r="B2620" s="936"/>
      <c r="C2620" s="936"/>
      <c r="D2620" s="936"/>
      <c r="E2620" s="936"/>
      <c r="AH2620" s="983"/>
      <c r="AI2620" s="983"/>
      <c r="AJ2620" s="968"/>
      <c r="AL2620" s="937"/>
    </row>
    <row r="2621" spans="2:38" s="930" customFormat="1" ht="20.25" customHeight="1" x14ac:dyDescent="0.2">
      <c r="B2621" s="936"/>
      <c r="C2621" s="936"/>
      <c r="D2621" s="936"/>
      <c r="E2621" s="936"/>
      <c r="AH2621" s="983"/>
      <c r="AI2621" s="983"/>
      <c r="AJ2621" s="968"/>
      <c r="AL2621" s="937"/>
    </row>
    <row r="2622" spans="2:38" s="930" customFormat="1" ht="20.25" customHeight="1" x14ac:dyDescent="0.2">
      <c r="B2622" s="936"/>
      <c r="C2622" s="936"/>
      <c r="D2622" s="936"/>
      <c r="E2622" s="936"/>
      <c r="AH2622" s="983"/>
      <c r="AI2622" s="983"/>
      <c r="AJ2622" s="968"/>
      <c r="AL2622" s="937"/>
    </row>
    <row r="2623" spans="2:38" s="930" customFormat="1" ht="20.25" customHeight="1" x14ac:dyDescent="0.2">
      <c r="B2623" s="936"/>
      <c r="C2623" s="936"/>
      <c r="D2623" s="936"/>
      <c r="E2623" s="936"/>
      <c r="AH2623" s="983"/>
      <c r="AI2623" s="983"/>
      <c r="AJ2623" s="968"/>
      <c r="AL2623" s="937"/>
    </row>
    <row r="2624" spans="2:38" s="930" customFormat="1" ht="20.25" customHeight="1" x14ac:dyDescent="0.2">
      <c r="B2624" s="936"/>
      <c r="C2624" s="936"/>
      <c r="D2624" s="936"/>
      <c r="E2624" s="936"/>
      <c r="AH2624" s="983"/>
      <c r="AI2624" s="983"/>
      <c r="AJ2624" s="968"/>
      <c r="AL2624" s="937"/>
    </row>
    <row r="2625" spans="2:38" s="930" customFormat="1" ht="20.25" customHeight="1" x14ac:dyDescent="0.2">
      <c r="B2625" s="936"/>
      <c r="C2625" s="936"/>
      <c r="D2625" s="936"/>
      <c r="E2625" s="936"/>
      <c r="AH2625" s="983"/>
      <c r="AI2625" s="983"/>
      <c r="AJ2625" s="968"/>
      <c r="AL2625" s="937"/>
    </row>
    <row r="2626" spans="2:38" s="930" customFormat="1" ht="20.25" customHeight="1" x14ac:dyDescent="0.2">
      <c r="B2626" s="936"/>
      <c r="C2626" s="936"/>
      <c r="D2626" s="936"/>
      <c r="E2626" s="936"/>
      <c r="AH2626" s="983"/>
      <c r="AI2626" s="983"/>
      <c r="AJ2626" s="968"/>
      <c r="AL2626" s="937"/>
    </row>
    <row r="2627" spans="2:38" s="930" customFormat="1" ht="20.25" customHeight="1" x14ac:dyDescent="0.2">
      <c r="B2627" s="936"/>
      <c r="C2627" s="936"/>
      <c r="D2627" s="936"/>
      <c r="E2627" s="936"/>
      <c r="AH2627" s="983"/>
      <c r="AI2627" s="983"/>
      <c r="AJ2627" s="968"/>
      <c r="AL2627" s="937"/>
    </row>
    <row r="2628" spans="2:38" s="930" customFormat="1" ht="20.25" customHeight="1" x14ac:dyDescent="0.2">
      <c r="B2628" s="936"/>
      <c r="C2628" s="936"/>
      <c r="D2628" s="936"/>
      <c r="E2628" s="936"/>
      <c r="AH2628" s="983"/>
      <c r="AI2628" s="983"/>
      <c r="AJ2628" s="968"/>
      <c r="AL2628" s="937"/>
    </row>
    <row r="2629" spans="2:38" s="930" customFormat="1" ht="20.25" customHeight="1" x14ac:dyDescent="0.2">
      <c r="B2629" s="936"/>
      <c r="C2629" s="936"/>
      <c r="D2629" s="936"/>
      <c r="E2629" s="936"/>
      <c r="AH2629" s="983"/>
      <c r="AI2629" s="983"/>
      <c r="AJ2629" s="968"/>
      <c r="AL2629" s="937"/>
    </row>
    <row r="2630" spans="2:38" s="930" customFormat="1" ht="20.25" customHeight="1" x14ac:dyDescent="0.2">
      <c r="B2630" s="936"/>
      <c r="C2630" s="936"/>
      <c r="D2630" s="936"/>
      <c r="E2630" s="936"/>
      <c r="AH2630" s="983"/>
      <c r="AI2630" s="983"/>
      <c r="AJ2630" s="968"/>
      <c r="AL2630" s="937"/>
    </row>
    <row r="2631" spans="2:38" s="930" customFormat="1" ht="20.25" customHeight="1" x14ac:dyDescent="0.2">
      <c r="B2631" s="936"/>
      <c r="C2631" s="936"/>
      <c r="D2631" s="936"/>
      <c r="E2631" s="936"/>
      <c r="AH2631" s="983"/>
      <c r="AI2631" s="983"/>
      <c r="AJ2631" s="968"/>
      <c r="AL2631" s="937"/>
    </row>
    <row r="2632" spans="2:38" s="930" customFormat="1" ht="20.25" customHeight="1" x14ac:dyDescent="0.2">
      <c r="B2632" s="936"/>
      <c r="C2632" s="936"/>
      <c r="D2632" s="936"/>
      <c r="E2632" s="936"/>
      <c r="AH2632" s="983"/>
      <c r="AI2632" s="983"/>
      <c r="AJ2632" s="968"/>
      <c r="AL2632" s="937"/>
    </row>
    <row r="2633" spans="2:38" s="930" customFormat="1" ht="20.25" customHeight="1" x14ac:dyDescent="0.2">
      <c r="B2633" s="936"/>
      <c r="C2633" s="936"/>
      <c r="D2633" s="936"/>
      <c r="E2633" s="936"/>
      <c r="AH2633" s="983"/>
      <c r="AI2633" s="983"/>
      <c r="AJ2633" s="968"/>
      <c r="AL2633" s="937"/>
    </row>
    <row r="2634" spans="2:38" s="930" customFormat="1" ht="20.25" customHeight="1" x14ac:dyDescent="0.2">
      <c r="B2634" s="936"/>
      <c r="C2634" s="936"/>
      <c r="D2634" s="936"/>
      <c r="E2634" s="936"/>
      <c r="AH2634" s="983"/>
      <c r="AI2634" s="983"/>
      <c r="AJ2634" s="968"/>
      <c r="AL2634" s="937"/>
    </row>
    <row r="2635" spans="2:38" s="930" customFormat="1" ht="20.25" customHeight="1" x14ac:dyDescent="0.2">
      <c r="B2635" s="936"/>
      <c r="C2635" s="936"/>
      <c r="D2635" s="936"/>
      <c r="E2635" s="936"/>
      <c r="AH2635" s="983"/>
      <c r="AI2635" s="983"/>
      <c r="AJ2635" s="968"/>
      <c r="AL2635" s="937"/>
    </row>
    <row r="2636" spans="2:38" s="930" customFormat="1" ht="20.25" customHeight="1" x14ac:dyDescent="0.2">
      <c r="B2636" s="936"/>
      <c r="C2636" s="936"/>
      <c r="D2636" s="936"/>
      <c r="E2636" s="936"/>
      <c r="AH2636" s="983"/>
      <c r="AI2636" s="983"/>
      <c r="AJ2636" s="968"/>
      <c r="AL2636" s="937"/>
    </row>
    <row r="2637" spans="2:38" s="930" customFormat="1" ht="20.25" customHeight="1" x14ac:dyDescent="0.2">
      <c r="B2637" s="936"/>
      <c r="C2637" s="936"/>
      <c r="D2637" s="936"/>
      <c r="E2637" s="936"/>
      <c r="AH2637" s="983"/>
      <c r="AI2637" s="983"/>
      <c r="AJ2637" s="968"/>
      <c r="AL2637" s="937"/>
    </row>
    <row r="2638" spans="2:38" s="930" customFormat="1" ht="20.25" customHeight="1" x14ac:dyDescent="0.2">
      <c r="B2638" s="936"/>
      <c r="C2638" s="936"/>
      <c r="D2638" s="936"/>
      <c r="E2638" s="936"/>
      <c r="AH2638" s="983"/>
      <c r="AI2638" s="983"/>
      <c r="AJ2638" s="968"/>
      <c r="AL2638" s="937"/>
    </row>
    <row r="2639" spans="2:38" s="930" customFormat="1" ht="20.25" customHeight="1" x14ac:dyDescent="0.2">
      <c r="B2639" s="936"/>
      <c r="C2639" s="936"/>
      <c r="D2639" s="936"/>
      <c r="E2639" s="936"/>
      <c r="AH2639" s="983"/>
      <c r="AI2639" s="983"/>
      <c r="AJ2639" s="968"/>
      <c r="AL2639" s="937"/>
    </row>
    <row r="2640" spans="2:38" s="930" customFormat="1" ht="20.25" customHeight="1" x14ac:dyDescent="0.2">
      <c r="B2640" s="936"/>
      <c r="C2640" s="936"/>
      <c r="D2640" s="936"/>
      <c r="E2640" s="936"/>
      <c r="AH2640" s="983"/>
      <c r="AI2640" s="983"/>
      <c r="AJ2640" s="968"/>
      <c r="AL2640" s="937"/>
    </row>
    <row r="2641" spans="2:38" s="930" customFormat="1" ht="20.25" customHeight="1" x14ac:dyDescent="0.2">
      <c r="B2641" s="936"/>
      <c r="C2641" s="936"/>
      <c r="D2641" s="936"/>
      <c r="E2641" s="936"/>
      <c r="AH2641" s="983"/>
      <c r="AI2641" s="983"/>
      <c r="AJ2641" s="968"/>
      <c r="AL2641" s="937"/>
    </row>
    <row r="2642" spans="2:38" s="930" customFormat="1" ht="20.25" customHeight="1" x14ac:dyDescent="0.2">
      <c r="B2642" s="936"/>
      <c r="C2642" s="936"/>
      <c r="D2642" s="936"/>
      <c r="E2642" s="936"/>
      <c r="AH2642" s="983"/>
      <c r="AI2642" s="983"/>
      <c r="AJ2642" s="968"/>
      <c r="AL2642" s="937"/>
    </row>
    <row r="2643" spans="2:38" s="930" customFormat="1" ht="20.25" customHeight="1" x14ac:dyDescent="0.2">
      <c r="B2643" s="936"/>
      <c r="C2643" s="936"/>
      <c r="D2643" s="936"/>
      <c r="E2643" s="936"/>
      <c r="AH2643" s="983"/>
      <c r="AI2643" s="983"/>
      <c r="AJ2643" s="968"/>
      <c r="AL2643" s="937"/>
    </row>
    <row r="2644" spans="2:38" s="930" customFormat="1" ht="20.25" customHeight="1" x14ac:dyDescent="0.2">
      <c r="B2644" s="936"/>
      <c r="C2644" s="936"/>
      <c r="D2644" s="936"/>
      <c r="E2644" s="936"/>
      <c r="AH2644" s="983"/>
      <c r="AI2644" s="983"/>
      <c r="AJ2644" s="968"/>
      <c r="AL2644" s="937"/>
    </row>
    <row r="2645" spans="2:38" s="930" customFormat="1" ht="20.25" customHeight="1" x14ac:dyDescent="0.2">
      <c r="B2645" s="936"/>
      <c r="C2645" s="936"/>
      <c r="D2645" s="936"/>
      <c r="E2645" s="936"/>
      <c r="AH2645" s="983"/>
      <c r="AI2645" s="983"/>
      <c r="AJ2645" s="968"/>
      <c r="AL2645" s="937"/>
    </row>
    <row r="2646" spans="2:38" s="930" customFormat="1" ht="20.25" customHeight="1" x14ac:dyDescent="0.2">
      <c r="B2646" s="936"/>
      <c r="C2646" s="936"/>
      <c r="D2646" s="936"/>
      <c r="E2646" s="936"/>
      <c r="AH2646" s="983"/>
      <c r="AI2646" s="983"/>
      <c r="AJ2646" s="968"/>
      <c r="AL2646" s="937"/>
    </row>
    <row r="2647" spans="2:38" s="930" customFormat="1" ht="20.25" customHeight="1" x14ac:dyDescent="0.2">
      <c r="B2647" s="936"/>
      <c r="C2647" s="936"/>
      <c r="D2647" s="936"/>
      <c r="E2647" s="936"/>
      <c r="AH2647" s="983"/>
      <c r="AI2647" s="983"/>
      <c r="AJ2647" s="968"/>
      <c r="AL2647" s="937"/>
    </row>
    <row r="2648" spans="2:38" s="930" customFormat="1" ht="20.25" customHeight="1" x14ac:dyDescent="0.2">
      <c r="B2648" s="936"/>
      <c r="C2648" s="936"/>
      <c r="D2648" s="936"/>
      <c r="E2648" s="936"/>
      <c r="AH2648" s="983"/>
      <c r="AI2648" s="983"/>
      <c r="AJ2648" s="968"/>
      <c r="AL2648" s="937"/>
    </row>
    <row r="2649" spans="2:38" s="930" customFormat="1" ht="20.25" customHeight="1" x14ac:dyDescent="0.2">
      <c r="B2649" s="936"/>
      <c r="C2649" s="936"/>
      <c r="D2649" s="936"/>
      <c r="E2649" s="936"/>
      <c r="AH2649" s="983"/>
      <c r="AI2649" s="983"/>
      <c r="AJ2649" s="968"/>
      <c r="AL2649" s="937"/>
    </row>
    <row r="2650" spans="2:38" s="930" customFormat="1" ht="20.25" customHeight="1" x14ac:dyDescent="0.2">
      <c r="B2650" s="936"/>
      <c r="C2650" s="936"/>
      <c r="D2650" s="936"/>
      <c r="E2650" s="936"/>
      <c r="AH2650" s="983"/>
      <c r="AI2650" s="983"/>
      <c r="AJ2650" s="968"/>
      <c r="AL2650" s="937"/>
    </row>
  </sheetData>
  <sheetProtection formatCells="0" formatColumns="0" formatRows="0" insertColumns="0" insertRows="0" insertHyperlinks="0" deleteColumns="0" deleteRows="0" sort="0" autoFilter="0" pivotTables="0"/>
  <autoFilter ref="A6:E106" xr:uid="{00000000-0009-0000-0000-000006000000}"/>
  <sortState xmlns:xlrd2="http://schemas.microsoft.com/office/spreadsheetml/2017/richdata2" ref="A7:AK250">
    <sortCondition ref="E7:E88"/>
    <sortCondition ref="A7:A88"/>
  </sortState>
  <dataConsolidate/>
  <mergeCells count="13">
    <mergeCell ref="AL14:AO14"/>
    <mergeCell ref="AM1:AO1"/>
    <mergeCell ref="A2:E2"/>
    <mergeCell ref="B3:E3"/>
    <mergeCell ref="B4:E4"/>
    <mergeCell ref="B5:E5"/>
    <mergeCell ref="AM2:AO2"/>
    <mergeCell ref="AQ45:AQ49"/>
    <mergeCell ref="AM58:AP58"/>
    <mergeCell ref="AM37:AP37"/>
    <mergeCell ref="AM79:AP79"/>
    <mergeCell ref="AM57:AP57"/>
    <mergeCell ref="AP45:AP49"/>
  </mergeCells>
  <conditionalFormatting sqref="F106:AJ107 U105:AJ105 N72:AJ72 M73:AJ74 F75:AJ104 F7:AJ71">
    <cfRule type="containsText" dxfId="43" priority="46" operator="containsText" text="DIS">
      <formula>NOT(ISERROR(SEARCH("DIS",F7)))</formula>
    </cfRule>
    <cfRule type="containsText" dxfId="42" priority="47" operator="containsText" text="A">
      <formula>NOT(ISERROR(SEARCH("A",F7)))</formula>
    </cfRule>
    <cfRule type="containsText" dxfId="41" priority="48" operator="containsText" text="F">
      <formula>NOT(ISERROR(SEARCH("F",F7)))</formula>
    </cfRule>
    <cfRule type="containsText" dxfId="40" priority="49" operator="containsText" text="M">
      <formula>NOT(ISERROR(SEARCH("M",F7)))</formula>
    </cfRule>
    <cfRule type="expression" dxfId="39" priority="50">
      <formula>IF(RIGHT($E7,1)=RIGHT(LEFT(F$5,2),1),1,0)</formula>
    </cfRule>
    <cfRule type="expression" dxfId="38" priority="51">
      <formula>IF(F$3=LEFT($E7,1),1,0)</formula>
    </cfRule>
    <cfRule type="expression" dxfId="37" priority="52">
      <formula>IF(AND(LEFT($E7,4)="MERG",LEFT(F$4,1)=RIGHT($E7,1)),1,0)</formula>
    </cfRule>
  </conditionalFormatting>
  <conditionalFormatting sqref="F106:AJ107 U105:AJ105 AG99:AJ104 F7:AJ98">
    <cfRule type="containsText" dxfId="36" priority="45" operator="containsText" text="V">
      <formula>NOT(ISERROR(SEARCH("V",F7)))</formula>
    </cfRule>
  </conditionalFormatting>
  <conditionalFormatting sqref="E7:E67">
    <cfRule type="containsText" dxfId="35" priority="30" operator="containsText" text="DELTA">
      <formula>NOT(ISERROR(SEARCH("DELTA",E7)))</formula>
    </cfRule>
    <cfRule type="containsText" dxfId="34" priority="31" operator="containsText" text="CHARLIE">
      <formula>NOT(ISERROR(SEARCH("CHARLIE",E7)))</formula>
    </cfRule>
    <cfRule type="containsText" dxfId="33" priority="32" operator="containsText" text="BRAVO">
      <formula>NOT(ISERROR(SEARCH("BRAVO",E7)))</formula>
    </cfRule>
    <cfRule type="containsText" dxfId="32" priority="33" operator="containsText" text="ALPHA">
      <formula>NOT(ISERROR(SEARCH("ALPHA",E7)))</formula>
    </cfRule>
  </conditionalFormatting>
  <conditionalFormatting sqref="L72:L73 F72:K74">
    <cfRule type="containsText" dxfId="31" priority="27" operator="containsText" text="DIS">
      <formula>NOT(ISERROR(SEARCH("DIS",F72)))</formula>
    </cfRule>
    <cfRule type="containsText" dxfId="30" priority="28" operator="containsText" text="A">
      <formula>NOT(ISERROR(SEARCH("A",F72)))</formula>
    </cfRule>
    <cfRule type="containsText" dxfId="29" priority="29" operator="containsText" text="F">
      <formula>NOT(ISERROR(SEARCH("F",F72)))</formula>
    </cfRule>
    <cfRule type="containsText" dxfId="28" priority="34" operator="containsText" text="M">
      <formula>NOT(ISERROR(SEARCH("M",F72)))</formula>
    </cfRule>
    <cfRule type="expression" dxfId="27" priority="35">
      <formula>IF(RIGHT($E72,1)=RIGHT(LEFT(F$5,2),1),1,0)</formula>
    </cfRule>
    <cfRule type="expression" dxfId="26" priority="36">
      <formula>IF(F$3=LEFT($E72,1),1,0)</formula>
    </cfRule>
    <cfRule type="expression" dxfId="25" priority="37">
      <formula>IF(AND(LEFT($E72,4)="MERG",LEFT(F$4,1)=RIGHT($E72,1)),1,0)</formula>
    </cfRule>
  </conditionalFormatting>
  <conditionalFormatting sqref="M72 L73:L74 K71:K72">
    <cfRule type="containsText" dxfId="24" priority="38" operator="containsText" text="D">
      <formula>NOT(ISERROR(SEARCH("D",K71)))</formula>
    </cfRule>
    <cfRule type="containsText" dxfId="23" priority="39" operator="containsText" text="A">
      <formula>NOT(ISERROR(SEARCH("A",K71)))</formula>
    </cfRule>
    <cfRule type="containsText" dxfId="22" priority="40" operator="containsText" text="F">
      <formula>NOT(ISERROR(SEARCH("F",K71)))</formula>
    </cfRule>
    <cfRule type="containsText" dxfId="21" priority="41" operator="containsText" text="E">
      <formula>NOT(ISERROR(SEARCH("E",K71)))</formula>
    </cfRule>
    <cfRule type="expression" dxfId="20" priority="42">
      <formula>IF(RIGHT($E71,1)=RIGHT(LEFT(G$5,2),1),1,0)</formula>
    </cfRule>
    <cfRule type="expression" dxfId="19" priority="43">
      <formula>IF(G$3=LEFT($E71,1),1,0)</formula>
    </cfRule>
    <cfRule type="expression" dxfId="18" priority="44">
      <formula>IF(AND(LEFT($E71,4)="MERG",LEFT(G$4,1)=RIGHT($E71,1)),1,0)</formula>
    </cfRule>
  </conditionalFormatting>
  <conditionalFormatting sqref="G11">
    <cfRule type="containsText" dxfId="17" priority="26" operator="containsText" text="N">
      <formula>NOT(ISERROR(SEARCH("N",G11)))</formula>
    </cfRule>
  </conditionalFormatting>
  <conditionalFormatting sqref="K11">
    <cfRule type="containsText" dxfId="16" priority="25" operator="containsText" text="V">
      <formula>NOT(ISERROR(SEARCH("V",K11)))</formula>
    </cfRule>
  </conditionalFormatting>
  <conditionalFormatting sqref="L11">
    <cfRule type="containsText" dxfId="15" priority="24" operator="containsText" text="V">
      <formula>NOT(ISERROR(SEARCH("V",L11)))</formula>
    </cfRule>
  </conditionalFormatting>
  <conditionalFormatting sqref="S9">
    <cfRule type="containsText" dxfId="14" priority="23" operator="containsText" text="V">
      <formula>NOT(ISERROR(SEARCH("V",S9)))</formula>
    </cfRule>
  </conditionalFormatting>
  <conditionalFormatting sqref="R10">
    <cfRule type="containsText" dxfId="13" priority="22" operator="containsText" text="V">
      <formula>NOT(ISERROR(SEARCH("V",R10)))</formula>
    </cfRule>
  </conditionalFormatting>
  <conditionalFormatting sqref="F105:T105">
    <cfRule type="containsText" dxfId="12" priority="14" operator="containsText" text="DIS">
      <formula>NOT(ISERROR(SEARCH("DIS",F105)))</formula>
    </cfRule>
    <cfRule type="containsText" dxfId="11" priority="15" operator="containsText" text="A">
      <formula>NOT(ISERROR(SEARCH("A",F105)))</formula>
    </cfRule>
    <cfRule type="containsText" dxfId="10" priority="16" operator="containsText" text="F">
      <formula>NOT(ISERROR(SEARCH("F",F105)))</formula>
    </cfRule>
    <cfRule type="containsText" dxfId="9" priority="17" operator="containsText" text="M">
      <formula>NOT(ISERROR(SEARCH("M",F105)))</formula>
    </cfRule>
    <cfRule type="expression" dxfId="8" priority="18">
      <formula>IF(RIGHT($E105,1)=RIGHT(LEFT(F$5,2),1),1,0)</formula>
    </cfRule>
    <cfRule type="expression" dxfId="7" priority="19">
      <formula>IF(F$3=LEFT($E105,1),1,0)</formula>
    </cfRule>
    <cfRule type="expression" dxfId="6" priority="20">
      <formula>IF(AND(LEFT($E105,4)="MERG",LEFT(F$4,1)=RIGHT($E105,1)),1,0)</formula>
    </cfRule>
  </conditionalFormatting>
  <conditionalFormatting sqref="F105:T105">
    <cfRule type="containsText" dxfId="5" priority="13" operator="containsText" text="V">
      <formula>NOT(ISERROR(SEARCH("V",F105)))</formula>
    </cfRule>
  </conditionalFormatting>
  <conditionalFormatting sqref="F99:AF104">
    <cfRule type="containsText" dxfId="4" priority="5" operator="containsText" text="V">
      <formula>NOT(ISERROR(SEARCH("V",F99)))</formula>
    </cfRule>
  </conditionalFormatting>
  <conditionalFormatting sqref="D19:D25">
    <cfRule type="containsText" dxfId="3" priority="1" operator="containsText" text="DELTA">
      <formula>NOT(ISERROR(SEARCH("DELTA",D19)))</formula>
    </cfRule>
    <cfRule type="containsText" dxfId="2" priority="2" operator="containsText" text="CHARLIE">
      <formula>NOT(ISERROR(SEARCH("CHARLIE",D19)))</formula>
    </cfRule>
    <cfRule type="containsText" dxfId="1" priority="3" operator="containsText" text="BRAVO">
      <formula>NOT(ISERROR(SEARCH("BRAVO",D19)))</formula>
    </cfRule>
    <cfRule type="containsText" dxfId="0" priority="4" operator="containsText" text="ALPHA">
      <formula>NOT(ISERROR(SEARCH("ALPHA",D19)))</formula>
    </cfRule>
  </conditionalFormatting>
  <printOptions horizontalCentered="1"/>
  <pageMargins left="0.59055118110236227" right="0.59055118110236227" top="0" bottom="0" header="0" footer="0"/>
  <pageSetup paperSize="9" scale="10" orientation="landscape" r:id="rId1"/>
  <headerFooter alignWithMargins="0"/>
  <colBreaks count="1" manualBreakCount="1">
    <brk id="9" max="1048575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39"/>
  <sheetViews>
    <sheetView workbookViewId="0">
      <selection activeCell="H2" sqref="H2"/>
    </sheetView>
  </sheetViews>
  <sheetFormatPr defaultRowHeight="12.75" x14ac:dyDescent="0.2"/>
  <cols>
    <col min="1" max="1" width="15.7109375" bestFit="1" customWidth="1"/>
    <col min="2" max="2" width="50.28515625" customWidth="1"/>
    <col min="3" max="3" width="15.7109375" customWidth="1"/>
    <col min="6" max="6" width="13.5703125" style="581" customWidth="1"/>
    <col min="7" max="7" width="37.85546875" style="63" customWidth="1"/>
    <col min="8" max="8" width="28.7109375" customWidth="1"/>
  </cols>
  <sheetData>
    <row r="1" spans="1:8" x14ac:dyDescent="0.2">
      <c r="A1" t="s">
        <v>270</v>
      </c>
      <c r="B1" t="s">
        <v>271</v>
      </c>
      <c r="C1" t="s">
        <v>272</v>
      </c>
    </row>
    <row r="2" spans="1:8" ht="15.75" x14ac:dyDescent="0.25">
      <c r="A2" s="974">
        <v>1</v>
      </c>
      <c r="B2" s="1027" t="s">
        <v>355</v>
      </c>
      <c r="C2" s="972">
        <v>903209</v>
      </c>
      <c r="D2" s="974">
        <v>1</v>
      </c>
      <c r="F2" s="693">
        <f t="shared" ref="F2:F5" si="0">C2</f>
        <v>903209</v>
      </c>
      <c r="G2" s="693" t="s">
        <v>355</v>
      </c>
      <c r="H2" s="693" t="s">
        <v>361</v>
      </c>
    </row>
    <row r="3" spans="1:8" ht="15.75" x14ac:dyDescent="0.25">
      <c r="A3" s="974">
        <v>2</v>
      </c>
      <c r="B3" s="1027" t="s">
        <v>356</v>
      </c>
      <c r="C3" s="972">
        <v>3142515</v>
      </c>
      <c r="D3" s="974">
        <v>2</v>
      </c>
      <c r="F3" s="693">
        <f t="shared" si="0"/>
        <v>3142515</v>
      </c>
      <c r="G3" s="693" t="s">
        <v>356</v>
      </c>
      <c r="H3" s="693" t="s">
        <v>360</v>
      </c>
    </row>
    <row r="4" spans="1:8" ht="15.75" x14ac:dyDescent="0.25">
      <c r="A4" s="974">
        <v>3</v>
      </c>
      <c r="B4" s="1027" t="s">
        <v>357</v>
      </c>
      <c r="C4" s="972">
        <v>4207190</v>
      </c>
      <c r="D4" s="974">
        <v>3</v>
      </c>
      <c r="F4" s="693">
        <f t="shared" si="0"/>
        <v>4207190</v>
      </c>
      <c r="G4" s="1028" t="s">
        <v>357</v>
      </c>
      <c r="H4" s="693" t="s">
        <v>309</v>
      </c>
    </row>
    <row r="5" spans="1:8" ht="15.75" x14ac:dyDescent="0.25">
      <c r="A5" s="974">
        <v>4</v>
      </c>
      <c r="B5" s="1027" t="s">
        <v>358</v>
      </c>
      <c r="C5" s="972">
        <v>4469763</v>
      </c>
      <c r="D5" s="974">
        <v>4</v>
      </c>
      <c r="F5" s="693">
        <f t="shared" si="0"/>
        <v>4469763</v>
      </c>
      <c r="G5" s="1028" t="s">
        <v>358</v>
      </c>
      <c r="H5" s="693" t="s">
        <v>359</v>
      </c>
    </row>
    <row r="6" spans="1:8" ht="15.75" x14ac:dyDescent="0.25">
      <c r="A6" s="974">
        <v>5</v>
      </c>
      <c r="B6" s="1027" t="s">
        <v>234</v>
      </c>
      <c r="C6" s="972">
        <v>3269779</v>
      </c>
      <c r="D6" s="974">
        <v>5</v>
      </c>
      <c r="F6" s="693">
        <f>C6</f>
        <v>3269779</v>
      </c>
      <c r="G6" s="973" t="s">
        <v>234</v>
      </c>
      <c r="H6" s="693" t="s">
        <v>309</v>
      </c>
    </row>
    <row r="7" spans="1:8" ht="15.75" x14ac:dyDescent="0.25">
      <c r="A7" s="974">
        <v>6</v>
      </c>
      <c r="B7" s="1027" t="s">
        <v>304</v>
      </c>
      <c r="C7" s="972">
        <v>2618389</v>
      </c>
      <c r="D7" s="974">
        <v>6</v>
      </c>
      <c r="F7" s="693">
        <f t="shared" ref="F7:F71" si="1">C7</f>
        <v>2618389</v>
      </c>
      <c r="G7" s="973" t="s">
        <v>304</v>
      </c>
      <c r="H7" s="693" t="s">
        <v>32</v>
      </c>
    </row>
    <row r="8" spans="1:8" ht="15.75" x14ac:dyDescent="0.25">
      <c r="A8" s="974">
        <v>7</v>
      </c>
      <c r="B8" s="1027" t="s">
        <v>303</v>
      </c>
      <c r="C8" s="972">
        <v>4544935</v>
      </c>
      <c r="D8" s="974">
        <v>7</v>
      </c>
      <c r="F8" s="693">
        <f t="shared" si="1"/>
        <v>4544935</v>
      </c>
      <c r="G8" s="973" t="s">
        <v>303</v>
      </c>
      <c r="H8" s="693" t="s">
        <v>32</v>
      </c>
    </row>
    <row r="9" spans="1:8" ht="15.75" x14ac:dyDescent="0.25">
      <c r="A9" s="974">
        <v>8</v>
      </c>
      <c r="B9" s="1027" t="s">
        <v>305</v>
      </c>
      <c r="C9" s="972">
        <v>2598264</v>
      </c>
      <c r="D9" s="974">
        <v>8</v>
      </c>
      <c r="F9" s="693">
        <f t="shared" si="1"/>
        <v>2598264</v>
      </c>
      <c r="G9" s="973" t="s">
        <v>305</v>
      </c>
      <c r="H9" s="693" t="s">
        <v>32</v>
      </c>
    </row>
    <row r="10" spans="1:8" ht="15.75" x14ac:dyDescent="0.25">
      <c r="A10" s="974">
        <v>9</v>
      </c>
      <c r="B10" s="1027" t="s">
        <v>306</v>
      </c>
      <c r="C10" s="972">
        <v>902291</v>
      </c>
      <c r="D10" s="974">
        <v>9</v>
      </c>
      <c r="F10" s="693">
        <f t="shared" si="1"/>
        <v>902291</v>
      </c>
      <c r="G10" s="973" t="s">
        <v>306</v>
      </c>
      <c r="H10" s="693" t="s">
        <v>32</v>
      </c>
    </row>
    <row r="11" spans="1:8" ht="15.75" x14ac:dyDescent="0.25">
      <c r="A11" s="974">
        <v>10</v>
      </c>
      <c r="B11" s="1027" t="s">
        <v>307</v>
      </c>
      <c r="C11" s="972">
        <v>902382</v>
      </c>
      <c r="D11" s="974">
        <v>10</v>
      </c>
      <c r="F11" s="693">
        <f t="shared" si="1"/>
        <v>902382</v>
      </c>
      <c r="G11" s="973" t="s">
        <v>307</v>
      </c>
      <c r="H11" s="693" t="s">
        <v>32</v>
      </c>
    </row>
    <row r="12" spans="1:8" ht="15.75" x14ac:dyDescent="0.25">
      <c r="A12" s="974">
        <v>11</v>
      </c>
      <c r="B12" s="1027"/>
      <c r="C12" s="972"/>
      <c r="D12" s="974">
        <v>11</v>
      </c>
      <c r="F12" s="693">
        <f t="shared" si="1"/>
        <v>0</v>
      </c>
      <c r="G12" s="973"/>
      <c r="H12" s="693"/>
    </row>
    <row r="13" spans="1:8" ht="15.75" x14ac:dyDescent="0.25">
      <c r="A13" s="974">
        <v>12</v>
      </c>
      <c r="B13" s="1027"/>
      <c r="C13" s="972"/>
      <c r="D13" s="974">
        <v>12</v>
      </c>
      <c r="F13" s="693">
        <f t="shared" si="1"/>
        <v>0</v>
      </c>
      <c r="G13" s="973"/>
      <c r="H13" s="693"/>
    </row>
    <row r="14" spans="1:8" ht="15.75" x14ac:dyDescent="0.25">
      <c r="A14" s="974">
        <v>13</v>
      </c>
      <c r="B14" s="1027" t="s">
        <v>327</v>
      </c>
      <c r="C14" s="972">
        <v>902114</v>
      </c>
      <c r="D14" s="974">
        <v>13</v>
      </c>
      <c r="F14" s="693">
        <f t="shared" si="1"/>
        <v>902114</v>
      </c>
      <c r="G14" s="1012" t="s">
        <v>327</v>
      </c>
      <c r="H14" s="693" t="s">
        <v>32</v>
      </c>
    </row>
    <row r="15" spans="1:8" ht="15.75" x14ac:dyDescent="0.25">
      <c r="A15" s="974">
        <v>14</v>
      </c>
      <c r="B15" s="1027"/>
      <c r="C15" s="972"/>
      <c r="D15" s="974">
        <v>14</v>
      </c>
      <c r="F15" s="693">
        <f t="shared" si="1"/>
        <v>0</v>
      </c>
      <c r="G15" s="973"/>
      <c r="H15" s="693"/>
    </row>
    <row r="16" spans="1:8" ht="15.75" x14ac:dyDescent="0.25">
      <c r="A16" s="974">
        <v>15</v>
      </c>
      <c r="B16" s="1027" t="s">
        <v>338</v>
      </c>
      <c r="C16" s="972">
        <v>902930</v>
      </c>
      <c r="D16" s="974">
        <v>15</v>
      </c>
      <c r="F16" s="693">
        <f t="shared" si="1"/>
        <v>902930</v>
      </c>
      <c r="G16" s="1012" t="s">
        <v>338</v>
      </c>
      <c r="H16" s="693" t="s">
        <v>32</v>
      </c>
    </row>
    <row r="17" spans="1:12" ht="15.75" x14ac:dyDescent="0.25">
      <c r="A17" s="974">
        <v>16</v>
      </c>
      <c r="B17" s="1027" t="s">
        <v>308</v>
      </c>
      <c r="C17" s="972">
        <v>902928</v>
      </c>
      <c r="D17" s="974">
        <v>16</v>
      </c>
      <c r="F17" s="693">
        <f t="shared" si="1"/>
        <v>902928</v>
      </c>
      <c r="G17" s="973" t="s">
        <v>308</v>
      </c>
      <c r="H17" s="693" t="s">
        <v>32</v>
      </c>
    </row>
    <row r="18" spans="1:12" ht="15.75" x14ac:dyDescent="0.25">
      <c r="A18" s="974">
        <v>17</v>
      </c>
      <c r="B18" s="1027" t="s">
        <v>235</v>
      </c>
      <c r="C18" s="972">
        <v>902801</v>
      </c>
      <c r="D18" s="974">
        <v>17</v>
      </c>
      <c r="F18" s="693">
        <f t="shared" si="1"/>
        <v>902801</v>
      </c>
      <c r="G18" s="973" t="s">
        <v>235</v>
      </c>
      <c r="H18" s="693" t="s">
        <v>32</v>
      </c>
    </row>
    <row r="19" spans="1:12" ht="15.75" x14ac:dyDescent="0.25">
      <c r="A19" s="974">
        <v>18</v>
      </c>
      <c r="B19" s="1027" t="s">
        <v>332</v>
      </c>
      <c r="C19" s="972">
        <v>903234</v>
      </c>
      <c r="D19" s="974">
        <v>18</v>
      </c>
      <c r="F19" s="693">
        <f t="shared" si="1"/>
        <v>903234</v>
      </c>
      <c r="G19" s="1012" t="s">
        <v>332</v>
      </c>
      <c r="H19" s="693" t="s">
        <v>32</v>
      </c>
    </row>
    <row r="20" spans="1:12" ht="15.75" x14ac:dyDescent="0.25">
      <c r="A20" s="974">
        <v>19</v>
      </c>
      <c r="B20" s="1027" t="s">
        <v>286</v>
      </c>
      <c r="C20" s="972">
        <v>903581</v>
      </c>
      <c r="D20" s="974">
        <v>19</v>
      </c>
      <c r="F20" s="693">
        <f t="shared" si="1"/>
        <v>903581</v>
      </c>
      <c r="G20" s="973" t="s">
        <v>286</v>
      </c>
      <c r="H20" s="693" t="s">
        <v>32</v>
      </c>
    </row>
    <row r="21" spans="1:12" ht="15.75" x14ac:dyDescent="0.25">
      <c r="A21" s="974">
        <v>20</v>
      </c>
      <c r="B21" s="1027" t="s">
        <v>328</v>
      </c>
      <c r="C21" s="972">
        <v>2778300</v>
      </c>
      <c r="D21" s="974">
        <v>20</v>
      </c>
      <c r="F21" s="693">
        <f t="shared" si="1"/>
        <v>2778300</v>
      </c>
      <c r="G21" s="1012" t="s">
        <v>328</v>
      </c>
      <c r="H21" s="693" t="s">
        <v>32</v>
      </c>
    </row>
    <row r="22" spans="1:12" ht="15.75" x14ac:dyDescent="0.25">
      <c r="A22" s="974">
        <v>21</v>
      </c>
      <c r="B22" s="1027" t="s">
        <v>333</v>
      </c>
      <c r="C22" s="972">
        <v>2777959</v>
      </c>
      <c r="D22" s="974">
        <v>21</v>
      </c>
      <c r="F22" s="693">
        <f t="shared" si="1"/>
        <v>2777959</v>
      </c>
      <c r="G22" s="1012" t="s">
        <v>333</v>
      </c>
      <c r="H22" s="693" t="s">
        <v>32</v>
      </c>
    </row>
    <row r="23" spans="1:12" ht="15.75" x14ac:dyDescent="0.25">
      <c r="A23" s="974">
        <v>22</v>
      </c>
      <c r="B23" s="1027" t="s">
        <v>236</v>
      </c>
      <c r="C23" s="972">
        <v>2777916</v>
      </c>
      <c r="D23" s="974">
        <v>22</v>
      </c>
      <c r="F23" s="693">
        <f t="shared" si="1"/>
        <v>2777916</v>
      </c>
      <c r="G23" s="973" t="s">
        <v>236</v>
      </c>
      <c r="H23" s="693" t="s">
        <v>32</v>
      </c>
      <c r="L23" t="s">
        <v>311</v>
      </c>
    </row>
    <row r="24" spans="1:12" ht="15.75" x14ac:dyDescent="0.25">
      <c r="A24" s="974">
        <v>23</v>
      </c>
      <c r="B24" s="1027" t="s">
        <v>237</v>
      </c>
      <c r="C24" s="972">
        <v>2691248</v>
      </c>
      <c r="D24" s="974">
        <v>23</v>
      </c>
      <c r="F24" s="693">
        <f t="shared" si="1"/>
        <v>2691248</v>
      </c>
      <c r="G24" s="973" t="s">
        <v>237</v>
      </c>
      <c r="H24" s="693" t="s">
        <v>32</v>
      </c>
    </row>
    <row r="25" spans="1:12" ht="15.75" x14ac:dyDescent="0.25">
      <c r="A25" s="974">
        <v>24</v>
      </c>
      <c r="B25" s="1027" t="s">
        <v>238</v>
      </c>
      <c r="C25" s="972">
        <v>2991896</v>
      </c>
      <c r="D25" s="974">
        <v>24</v>
      </c>
      <c r="F25" s="693">
        <f t="shared" si="1"/>
        <v>2991896</v>
      </c>
      <c r="G25" s="973" t="s">
        <v>238</v>
      </c>
      <c r="H25" s="693" t="s">
        <v>32</v>
      </c>
    </row>
    <row r="26" spans="1:12" ht="15.75" x14ac:dyDescent="0.25">
      <c r="A26" s="974">
        <v>25</v>
      </c>
      <c r="B26" s="1027" t="s">
        <v>239</v>
      </c>
      <c r="C26" s="972">
        <v>2778262</v>
      </c>
      <c r="D26" s="974">
        <v>25</v>
      </c>
      <c r="F26" s="693">
        <f t="shared" si="1"/>
        <v>2778262</v>
      </c>
      <c r="G26" s="973" t="s">
        <v>239</v>
      </c>
      <c r="H26" s="693" t="s">
        <v>32</v>
      </c>
    </row>
    <row r="27" spans="1:12" ht="15.75" x14ac:dyDescent="0.25">
      <c r="A27" s="974">
        <v>26</v>
      </c>
      <c r="B27" s="1027" t="s">
        <v>240</v>
      </c>
      <c r="C27" s="972">
        <v>2878038</v>
      </c>
      <c r="D27" s="974">
        <v>26</v>
      </c>
      <c r="F27" s="693">
        <f t="shared" si="1"/>
        <v>2878038</v>
      </c>
      <c r="G27" s="973" t="s">
        <v>240</v>
      </c>
      <c r="H27" s="693" t="s">
        <v>32</v>
      </c>
    </row>
    <row r="28" spans="1:12" ht="15.75" x14ac:dyDescent="0.25">
      <c r="A28" s="974">
        <v>27</v>
      </c>
      <c r="B28" s="1027" t="s">
        <v>241</v>
      </c>
      <c r="C28" s="972">
        <v>2984946</v>
      </c>
      <c r="D28" s="974">
        <v>27</v>
      </c>
      <c r="F28" s="693">
        <f t="shared" si="1"/>
        <v>2984946</v>
      </c>
      <c r="G28" s="973" t="s">
        <v>241</v>
      </c>
      <c r="H28" s="693" t="s">
        <v>32</v>
      </c>
    </row>
    <row r="29" spans="1:12" ht="15.75" x14ac:dyDescent="0.25">
      <c r="A29" s="974">
        <v>28</v>
      </c>
      <c r="B29" s="1027" t="s">
        <v>242</v>
      </c>
      <c r="C29" s="972">
        <v>2982390</v>
      </c>
      <c r="D29" s="974">
        <v>28</v>
      </c>
      <c r="F29" s="693">
        <f t="shared" si="1"/>
        <v>2982390</v>
      </c>
      <c r="G29" s="973" t="s">
        <v>242</v>
      </c>
      <c r="H29" s="693" t="s">
        <v>32</v>
      </c>
    </row>
    <row r="30" spans="1:12" ht="15.75" x14ac:dyDescent="0.25">
      <c r="A30" s="974">
        <v>29</v>
      </c>
      <c r="B30" s="1027"/>
      <c r="C30" s="972"/>
      <c r="D30" s="974">
        <v>29</v>
      </c>
      <c r="F30" s="693">
        <f t="shared" si="1"/>
        <v>0</v>
      </c>
      <c r="G30" s="973"/>
      <c r="H30" s="693"/>
    </row>
    <row r="31" spans="1:12" ht="15.75" x14ac:dyDescent="0.25">
      <c r="A31" s="974">
        <v>30</v>
      </c>
      <c r="B31" s="1027" t="s">
        <v>243</v>
      </c>
      <c r="C31" s="972">
        <v>2967316</v>
      </c>
      <c r="D31" s="974">
        <v>30</v>
      </c>
      <c r="F31" s="693">
        <f t="shared" si="1"/>
        <v>2967316</v>
      </c>
      <c r="G31" s="973" t="s">
        <v>243</v>
      </c>
      <c r="H31" s="693" t="s">
        <v>32</v>
      </c>
    </row>
    <row r="32" spans="1:12" ht="15.75" x14ac:dyDescent="0.25">
      <c r="A32" s="974">
        <v>31</v>
      </c>
      <c r="B32" s="1027" t="s">
        <v>244</v>
      </c>
      <c r="C32" s="972">
        <v>2981009</v>
      </c>
      <c r="D32" s="974">
        <v>31</v>
      </c>
      <c r="F32" s="693">
        <f t="shared" si="1"/>
        <v>2981009</v>
      </c>
      <c r="G32" s="973" t="s">
        <v>244</v>
      </c>
      <c r="H32" s="693" t="s">
        <v>32</v>
      </c>
    </row>
    <row r="33" spans="1:8" ht="15.75" x14ac:dyDescent="0.25">
      <c r="A33" s="974">
        <v>32</v>
      </c>
      <c r="B33" s="1027" t="s">
        <v>331</v>
      </c>
      <c r="C33" s="972">
        <v>2981513</v>
      </c>
      <c r="D33" s="974">
        <v>32</v>
      </c>
      <c r="F33" s="693">
        <f t="shared" si="1"/>
        <v>2981513</v>
      </c>
      <c r="G33" s="1012" t="s">
        <v>331</v>
      </c>
      <c r="H33" s="693" t="s">
        <v>32</v>
      </c>
    </row>
    <row r="34" spans="1:8" ht="15.75" x14ac:dyDescent="0.25">
      <c r="A34" s="974">
        <v>33</v>
      </c>
      <c r="B34" s="1027" t="s">
        <v>330</v>
      </c>
      <c r="C34" s="972">
        <v>2981823</v>
      </c>
      <c r="D34" s="974">
        <v>33</v>
      </c>
      <c r="F34" s="693">
        <f t="shared" si="1"/>
        <v>2981823</v>
      </c>
      <c r="G34" s="1012" t="s">
        <v>330</v>
      </c>
      <c r="H34" s="693" t="s">
        <v>32</v>
      </c>
    </row>
    <row r="35" spans="1:8" ht="15.75" x14ac:dyDescent="0.25">
      <c r="A35" s="974">
        <v>34</v>
      </c>
      <c r="B35" s="1027" t="s">
        <v>329</v>
      </c>
      <c r="C35" s="972">
        <v>3037509</v>
      </c>
      <c r="D35" s="974">
        <v>34</v>
      </c>
      <c r="F35" s="693">
        <f t="shared" si="1"/>
        <v>3037509</v>
      </c>
      <c r="G35" s="1012" t="s">
        <v>329</v>
      </c>
      <c r="H35" s="693" t="s">
        <v>32</v>
      </c>
    </row>
    <row r="36" spans="1:8" ht="15.75" x14ac:dyDescent="0.25">
      <c r="A36" s="974">
        <v>35</v>
      </c>
      <c r="B36" s="1027" t="s">
        <v>245</v>
      </c>
      <c r="C36" s="972">
        <v>3037584</v>
      </c>
      <c r="D36" s="974">
        <v>35</v>
      </c>
      <c r="F36" s="693">
        <f t="shared" si="1"/>
        <v>3037584</v>
      </c>
      <c r="G36" s="973" t="s">
        <v>245</v>
      </c>
      <c r="H36" s="693" t="s">
        <v>32</v>
      </c>
    </row>
    <row r="37" spans="1:8" ht="15.75" x14ac:dyDescent="0.25">
      <c r="A37" s="974">
        <v>36</v>
      </c>
      <c r="B37" s="1027" t="s">
        <v>246</v>
      </c>
      <c r="C37" s="972">
        <v>3037770</v>
      </c>
      <c r="D37" s="974">
        <v>36</v>
      </c>
      <c r="F37" s="693">
        <f t="shared" si="1"/>
        <v>3037770</v>
      </c>
      <c r="G37" s="973" t="s">
        <v>246</v>
      </c>
      <c r="H37" s="693" t="s">
        <v>32</v>
      </c>
    </row>
    <row r="38" spans="1:8" ht="15.75" x14ac:dyDescent="0.25">
      <c r="A38" s="974">
        <v>37</v>
      </c>
      <c r="B38" s="1027" t="s">
        <v>247</v>
      </c>
      <c r="C38" s="972">
        <v>3137252</v>
      </c>
      <c r="D38" s="974">
        <v>37</v>
      </c>
      <c r="F38" s="693">
        <f t="shared" si="1"/>
        <v>3137252</v>
      </c>
      <c r="G38" s="973" t="s">
        <v>247</v>
      </c>
      <c r="H38" s="693" t="s">
        <v>32</v>
      </c>
    </row>
    <row r="39" spans="1:8" ht="15.75" x14ac:dyDescent="0.25">
      <c r="A39" s="974">
        <v>38</v>
      </c>
      <c r="B39" s="1027" t="s">
        <v>248</v>
      </c>
      <c r="C39" s="972">
        <v>3037703</v>
      </c>
      <c r="D39" s="974">
        <v>38</v>
      </c>
      <c r="F39" s="693">
        <f t="shared" si="1"/>
        <v>3037703</v>
      </c>
      <c r="G39" s="973" t="s">
        <v>248</v>
      </c>
      <c r="H39" s="693" t="s">
        <v>32</v>
      </c>
    </row>
    <row r="40" spans="1:8" ht="15.75" x14ac:dyDescent="0.25">
      <c r="A40" s="974">
        <v>39</v>
      </c>
      <c r="B40" s="1027" t="s">
        <v>339</v>
      </c>
      <c r="C40" s="972">
        <v>3022269</v>
      </c>
      <c r="D40" s="974">
        <v>39</v>
      </c>
      <c r="F40" s="693">
        <f t="shared" si="1"/>
        <v>3022269</v>
      </c>
      <c r="G40" s="973" t="s">
        <v>339</v>
      </c>
      <c r="H40" s="693" t="s">
        <v>32</v>
      </c>
    </row>
    <row r="41" spans="1:8" ht="15.75" x14ac:dyDescent="0.25">
      <c r="A41" s="974">
        <v>40</v>
      </c>
      <c r="B41" s="1027" t="s">
        <v>249</v>
      </c>
      <c r="C41" s="972">
        <v>3270181</v>
      </c>
      <c r="D41" s="974">
        <v>40</v>
      </c>
      <c r="F41" s="693">
        <f t="shared" si="1"/>
        <v>3270181</v>
      </c>
      <c r="G41" s="973" t="s">
        <v>249</v>
      </c>
      <c r="H41" s="693" t="s">
        <v>32</v>
      </c>
    </row>
    <row r="42" spans="1:8" ht="15.75" x14ac:dyDescent="0.25">
      <c r="A42" s="974">
        <v>41</v>
      </c>
      <c r="B42" s="1027" t="s">
        <v>250</v>
      </c>
      <c r="C42" s="972">
        <v>3036464</v>
      </c>
      <c r="D42" s="974">
        <v>41</v>
      </c>
      <c r="F42" s="693">
        <f t="shared" si="1"/>
        <v>3036464</v>
      </c>
      <c r="G42" s="973" t="s">
        <v>250</v>
      </c>
      <c r="H42" s="693" t="s">
        <v>32</v>
      </c>
    </row>
    <row r="43" spans="1:8" ht="15.75" x14ac:dyDescent="0.25">
      <c r="A43" s="974">
        <v>42</v>
      </c>
      <c r="B43" s="1027" t="s">
        <v>251</v>
      </c>
      <c r="C43" s="972">
        <v>3270149</v>
      </c>
      <c r="D43" s="974">
        <v>42</v>
      </c>
      <c r="F43" s="693">
        <f t="shared" si="1"/>
        <v>3270149</v>
      </c>
      <c r="G43" s="973" t="s">
        <v>251</v>
      </c>
      <c r="H43" s="693" t="s">
        <v>32</v>
      </c>
    </row>
    <row r="44" spans="1:8" ht="15.75" x14ac:dyDescent="0.25">
      <c r="A44" s="974">
        <v>43</v>
      </c>
      <c r="B44" s="1027" t="s">
        <v>277</v>
      </c>
      <c r="C44" s="972">
        <v>3174824</v>
      </c>
      <c r="D44" s="974">
        <v>43</v>
      </c>
      <c r="F44" s="693">
        <f t="shared" si="1"/>
        <v>3174824</v>
      </c>
      <c r="G44" s="973" t="s">
        <v>277</v>
      </c>
      <c r="H44" s="693" t="s">
        <v>32</v>
      </c>
    </row>
    <row r="45" spans="1:8" ht="15.75" x14ac:dyDescent="0.25">
      <c r="A45" s="974">
        <v>44</v>
      </c>
      <c r="B45" s="1027"/>
      <c r="C45" s="972"/>
      <c r="D45" s="974">
        <v>44</v>
      </c>
      <c r="F45" s="693">
        <f t="shared" si="1"/>
        <v>0</v>
      </c>
      <c r="G45" s="973"/>
      <c r="H45" s="693" t="s">
        <v>32</v>
      </c>
    </row>
    <row r="46" spans="1:8" ht="15.75" x14ac:dyDescent="0.25">
      <c r="A46" s="974">
        <v>45</v>
      </c>
      <c r="B46" s="1027" t="s">
        <v>252</v>
      </c>
      <c r="C46" s="972">
        <v>3137333</v>
      </c>
      <c r="D46" s="974">
        <v>45</v>
      </c>
      <c r="F46" s="693">
        <f t="shared" si="1"/>
        <v>3137333</v>
      </c>
      <c r="G46" s="973" t="s">
        <v>252</v>
      </c>
      <c r="H46" s="693" t="s">
        <v>32</v>
      </c>
    </row>
    <row r="47" spans="1:8" ht="15.75" x14ac:dyDescent="0.25">
      <c r="A47" s="974">
        <v>46</v>
      </c>
      <c r="B47" s="1027" t="s">
        <v>253</v>
      </c>
      <c r="C47" s="972">
        <v>3477185</v>
      </c>
      <c r="D47" s="974">
        <v>46</v>
      </c>
      <c r="F47" s="693">
        <f t="shared" si="1"/>
        <v>3477185</v>
      </c>
      <c r="G47" s="973" t="s">
        <v>253</v>
      </c>
      <c r="H47" s="693" t="s">
        <v>32</v>
      </c>
    </row>
    <row r="48" spans="1:8" ht="15.75" x14ac:dyDescent="0.25">
      <c r="A48" s="974">
        <v>47</v>
      </c>
      <c r="B48" s="1027" t="s">
        <v>334</v>
      </c>
      <c r="C48" s="972">
        <v>2966220</v>
      </c>
      <c r="D48" s="974">
        <v>47</v>
      </c>
      <c r="F48" s="693">
        <f t="shared" ref="F48" si="2">C48</f>
        <v>2966220</v>
      </c>
      <c r="G48" s="973" t="s">
        <v>334</v>
      </c>
      <c r="H48" s="693" t="s">
        <v>32</v>
      </c>
    </row>
    <row r="49" spans="1:8" ht="15.75" x14ac:dyDescent="0.25">
      <c r="A49" s="974">
        <v>48</v>
      </c>
      <c r="B49" s="1027" t="s">
        <v>283</v>
      </c>
      <c r="C49" s="972">
        <v>3037657</v>
      </c>
      <c r="D49" s="974">
        <v>48</v>
      </c>
      <c r="F49" s="693">
        <f t="shared" si="1"/>
        <v>3037657</v>
      </c>
      <c r="G49" s="973" t="s">
        <v>283</v>
      </c>
      <c r="H49" s="693" t="s">
        <v>98</v>
      </c>
    </row>
    <row r="50" spans="1:8" ht="15.75" x14ac:dyDescent="0.25">
      <c r="A50" s="974">
        <v>49</v>
      </c>
      <c r="B50" s="1027" t="s">
        <v>282</v>
      </c>
      <c r="C50" s="972">
        <v>3131564</v>
      </c>
      <c r="D50" s="974">
        <v>49</v>
      </c>
      <c r="F50" s="693">
        <f t="shared" si="1"/>
        <v>3131564</v>
      </c>
      <c r="G50" s="973" t="s">
        <v>282</v>
      </c>
      <c r="H50" s="693" t="s">
        <v>98</v>
      </c>
    </row>
    <row r="51" spans="1:8" ht="15.75" x14ac:dyDescent="0.25">
      <c r="A51" s="974">
        <v>50</v>
      </c>
      <c r="B51" s="1027" t="s">
        <v>254</v>
      </c>
      <c r="C51" s="972">
        <v>3132170</v>
      </c>
      <c r="D51" s="974">
        <v>50</v>
      </c>
      <c r="F51" s="693">
        <f t="shared" si="1"/>
        <v>3132170</v>
      </c>
      <c r="G51" s="973" t="s">
        <v>254</v>
      </c>
      <c r="H51" s="693" t="s">
        <v>98</v>
      </c>
    </row>
    <row r="52" spans="1:8" ht="15.75" x14ac:dyDescent="0.25">
      <c r="A52" s="974">
        <v>51</v>
      </c>
      <c r="B52" s="1027" t="s">
        <v>255</v>
      </c>
      <c r="C52" s="972">
        <v>3068412</v>
      </c>
      <c r="D52" s="974">
        <v>51</v>
      </c>
      <c r="F52" s="693">
        <f t="shared" si="1"/>
        <v>3068412</v>
      </c>
      <c r="G52" s="973" t="s">
        <v>255</v>
      </c>
      <c r="H52" s="693" t="s">
        <v>310</v>
      </c>
    </row>
    <row r="53" spans="1:8" ht="15.75" x14ac:dyDescent="0.25">
      <c r="A53" s="974">
        <v>52</v>
      </c>
      <c r="B53" s="1027" t="s">
        <v>256</v>
      </c>
      <c r="C53" s="972">
        <v>3136302</v>
      </c>
      <c r="D53" s="974">
        <v>52</v>
      </c>
      <c r="F53" s="693">
        <f t="shared" si="1"/>
        <v>3136302</v>
      </c>
      <c r="G53" s="973" t="s">
        <v>256</v>
      </c>
      <c r="H53" s="693" t="s">
        <v>310</v>
      </c>
    </row>
    <row r="54" spans="1:8" ht="15.75" x14ac:dyDescent="0.25">
      <c r="A54" s="974">
        <v>53</v>
      </c>
      <c r="B54" s="1027" t="s">
        <v>144</v>
      </c>
      <c r="C54" s="972">
        <v>3269175</v>
      </c>
      <c r="D54" s="974">
        <v>53</v>
      </c>
      <c r="F54" s="693">
        <f t="shared" si="1"/>
        <v>3269175</v>
      </c>
      <c r="G54" s="973" t="s">
        <v>144</v>
      </c>
      <c r="H54" s="693" t="s">
        <v>310</v>
      </c>
    </row>
    <row r="55" spans="1:8" ht="15.75" x14ac:dyDescent="0.25">
      <c r="A55" s="974">
        <v>54</v>
      </c>
      <c r="B55" s="1027" t="s">
        <v>257</v>
      </c>
      <c r="C55" s="972">
        <v>3269515</v>
      </c>
      <c r="D55" s="974">
        <v>54</v>
      </c>
      <c r="F55" s="693">
        <f t="shared" si="1"/>
        <v>3269515</v>
      </c>
      <c r="G55" s="973" t="s">
        <v>257</v>
      </c>
      <c r="H55" s="693" t="s">
        <v>310</v>
      </c>
    </row>
    <row r="56" spans="1:8" ht="15.75" x14ac:dyDescent="0.25">
      <c r="A56" s="974">
        <v>55</v>
      </c>
      <c r="B56" s="1027" t="s">
        <v>258</v>
      </c>
      <c r="C56" s="972">
        <v>3269663</v>
      </c>
      <c r="D56" s="974">
        <v>55</v>
      </c>
      <c r="F56" s="693">
        <f t="shared" si="1"/>
        <v>3269663</v>
      </c>
      <c r="G56" s="973" t="s">
        <v>258</v>
      </c>
      <c r="H56" s="693" t="s">
        <v>310</v>
      </c>
    </row>
    <row r="57" spans="1:8" ht="15.75" x14ac:dyDescent="0.25">
      <c r="A57" s="974">
        <v>56</v>
      </c>
      <c r="B57" s="1027" t="s">
        <v>180</v>
      </c>
      <c r="C57" s="972">
        <v>3271099</v>
      </c>
      <c r="D57" s="974">
        <v>56</v>
      </c>
      <c r="F57" s="693">
        <f t="shared" si="1"/>
        <v>3271099</v>
      </c>
      <c r="G57" s="973" t="s">
        <v>180</v>
      </c>
      <c r="H57" s="693" t="s">
        <v>98</v>
      </c>
    </row>
    <row r="58" spans="1:8" ht="15.75" x14ac:dyDescent="0.25">
      <c r="A58" s="974">
        <v>57</v>
      </c>
      <c r="B58" s="1027" t="s">
        <v>281</v>
      </c>
      <c r="C58" s="972">
        <v>3055566</v>
      </c>
      <c r="D58" s="974">
        <v>57</v>
      </c>
      <c r="F58" s="693">
        <f t="shared" si="1"/>
        <v>3055566</v>
      </c>
      <c r="G58" s="973" t="s">
        <v>281</v>
      </c>
      <c r="H58" s="693" t="s">
        <v>98</v>
      </c>
    </row>
    <row r="59" spans="1:8" ht="15.75" x14ac:dyDescent="0.25">
      <c r="A59" s="974">
        <v>58</v>
      </c>
      <c r="B59" s="1027" t="s">
        <v>287</v>
      </c>
      <c r="C59" s="972">
        <v>3269787</v>
      </c>
      <c r="D59" s="974">
        <v>58</v>
      </c>
      <c r="F59" s="693">
        <v>3269787</v>
      </c>
      <c r="G59" s="1012" t="s">
        <v>287</v>
      </c>
      <c r="H59" s="693" t="s">
        <v>310</v>
      </c>
    </row>
    <row r="60" spans="1:8" ht="15.75" x14ac:dyDescent="0.25">
      <c r="A60" s="974">
        <v>59</v>
      </c>
      <c r="B60" s="1027" t="s">
        <v>354</v>
      </c>
      <c r="C60" s="972">
        <v>3270459</v>
      </c>
      <c r="D60" s="974">
        <v>59</v>
      </c>
      <c r="F60" s="693">
        <f t="shared" si="1"/>
        <v>3270459</v>
      </c>
      <c r="G60" s="1012" t="s">
        <v>354</v>
      </c>
      <c r="H60" s="693" t="s">
        <v>310</v>
      </c>
    </row>
    <row r="61" spans="1:8" ht="15.75" x14ac:dyDescent="0.25">
      <c r="A61" s="974">
        <v>60</v>
      </c>
      <c r="B61" s="1027" t="s">
        <v>278</v>
      </c>
      <c r="C61" s="972">
        <v>3369900</v>
      </c>
      <c r="D61" s="974">
        <v>60</v>
      </c>
      <c r="F61" s="693">
        <f t="shared" si="1"/>
        <v>3369900</v>
      </c>
      <c r="G61" s="973" t="s">
        <v>278</v>
      </c>
      <c r="H61" s="693" t="s">
        <v>98</v>
      </c>
    </row>
    <row r="62" spans="1:8" ht="15.75" x14ac:dyDescent="0.25">
      <c r="A62" s="974">
        <v>61</v>
      </c>
      <c r="B62" s="1027" t="s">
        <v>276</v>
      </c>
      <c r="C62" s="972">
        <v>3371760</v>
      </c>
      <c r="D62" s="974">
        <v>61</v>
      </c>
      <c r="F62" s="693">
        <f t="shared" si="1"/>
        <v>3371760</v>
      </c>
      <c r="G62" s="973" t="s">
        <v>276</v>
      </c>
      <c r="H62" s="693" t="s">
        <v>98</v>
      </c>
    </row>
    <row r="63" spans="1:8" ht="15.75" x14ac:dyDescent="0.25">
      <c r="A63" s="974">
        <v>62</v>
      </c>
      <c r="B63" s="1027" t="s">
        <v>284</v>
      </c>
      <c r="C63" s="972">
        <v>3370313</v>
      </c>
      <c r="D63" s="974">
        <v>62</v>
      </c>
      <c r="F63" s="693">
        <f t="shared" si="1"/>
        <v>3370313</v>
      </c>
      <c r="G63" s="973" t="s">
        <v>284</v>
      </c>
      <c r="H63" s="693" t="s">
        <v>98</v>
      </c>
    </row>
    <row r="64" spans="1:8" ht="15.75" x14ac:dyDescent="0.25">
      <c r="A64" s="974">
        <v>63</v>
      </c>
      <c r="B64" s="1027" t="s">
        <v>152</v>
      </c>
      <c r="C64" s="972">
        <v>3369986</v>
      </c>
      <c r="D64" s="974">
        <v>63</v>
      </c>
      <c r="F64" s="693">
        <f t="shared" si="1"/>
        <v>3369986</v>
      </c>
      <c r="G64" s="973" t="s">
        <v>152</v>
      </c>
      <c r="H64" s="693" t="s">
        <v>98</v>
      </c>
    </row>
    <row r="65" spans="1:10" ht="15.75" x14ac:dyDescent="0.25">
      <c r="A65" s="974">
        <v>64</v>
      </c>
      <c r="B65" s="1027" t="s">
        <v>232</v>
      </c>
      <c r="C65" s="972">
        <v>3477363</v>
      </c>
      <c r="D65" s="974">
        <v>64</v>
      </c>
      <c r="F65" s="693">
        <f t="shared" si="1"/>
        <v>3477363</v>
      </c>
      <c r="G65" s="973" t="s">
        <v>232</v>
      </c>
      <c r="H65" s="693" t="s">
        <v>98</v>
      </c>
    </row>
    <row r="66" spans="1:10" ht="15.75" x14ac:dyDescent="0.25">
      <c r="A66" s="974">
        <v>65</v>
      </c>
      <c r="B66" s="1027" t="s">
        <v>162</v>
      </c>
      <c r="C66" s="972">
        <v>3477487</v>
      </c>
      <c r="D66" s="974">
        <v>65</v>
      </c>
      <c r="F66" s="693">
        <f t="shared" si="1"/>
        <v>3477487</v>
      </c>
      <c r="G66" s="973" t="s">
        <v>162</v>
      </c>
      <c r="H66" s="693" t="s">
        <v>98</v>
      </c>
    </row>
    <row r="67" spans="1:10" ht="15.75" x14ac:dyDescent="0.25">
      <c r="A67" s="974">
        <v>66</v>
      </c>
      <c r="B67" s="1027" t="s">
        <v>184</v>
      </c>
      <c r="C67" s="972">
        <v>3478831</v>
      </c>
      <c r="D67" s="974">
        <v>66</v>
      </c>
      <c r="F67" s="693">
        <f t="shared" si="1"/>
        <v>3478831</v>
      </c>
      <c r="G67" s="973" t="s">
        <v>184</v>
      </c>
      <c r="H67" s="693" t="s">
        <v>98</v>
      </c>
    </row>
    <row r="68" spans="1:10" ht="15.75" x14ac:dyDescent="0.25">
      <c r="A68" s="974">
        <v>67</v>
      </c>
      <c r="B68" s="1027" t="s">
        <v>149</v>
      </c>
      <c r="C68" s="972">
        <v>3477630</v>
      </c>
      <c r="D68" s="974">
        <v>67</v>
      </c>
      <c r="F68" s="693">
        <f t="shared" si="1"/>
        <v>3477630</v>
      </c>
      <c r="G68" s="973" t="s">
        <v>149</v>
      </c>
      <c r="H68" s="693" t="s">
        <v>98</v>
      </c>
    </row>
    <row r="69" spans="1:10" ht="15.75" x14ac:dyDescent="0.25">
      <c r="A69" s="974">
        <v>68</v>
      </c>
      <c r="B69" s="1027" t="s">
        <v>156</v>
      </c>
      <c r="C69" s="972">
        <v>3195040</v>
      </c>
      <c r="D69" s="974">
        <v>68</v>
      </c>
      <c r="F69" s="693">
        <f t="shared" si="1"/>
        <v>3195040</v>
      </c>
      <c r="G69" s="973" t="s">
        <v>156</v>
      </c>
      <c r="H69" s="693" t="s">
        <v>98</v>
      </c>
    </row>
    <row r="70" spans="1:10" ht="15.75" x14ac:dyDescent="0.25">
      <c r="A70" s="974">
        <v>69</v>
      </c>
      <c r="B70" s="1027" t="s">
        <v>165</v>
      </c>
      <c r="C70" s="972">
        <v>3669777</v>
      </c>
      <c r="D70" s="974">
        <v>69</v>
      </c>
      <c r="F70" s="693">
        <f t="shared" si="1"/>
        <v>3669777</v>
      </c>
      <c r="G70" s="973" t="s">
        <v>165</v>
      </c>
      <c r="H70" s="693" t="s">
        <v>98</v>
      </c>
    </row>
    <row r="71" spans="1:10" ht="15.75" x14ac:dyDescent="0.25">
      <c r="A71" s="974">
        <v>70</v>
      </c>
      <c r="B71" s="1027" t="s">
        <v>275</v>
      </c>
      <c r="C71" s="972">
        <v>3669629</v>
      </c>
      <c r="D71" s="974">
        <v>70</v>
      </c>
      <c r="F71" s="693">
        <f t="shared" si="1"/>
        <v>3669629</v>
      </c>
      <c r="G71" s="973" t="s">
        <v>275</v>
      </c>
      <c r="H71" s="693" t="s">
        <v>98</v>
      </c>
      <c r="J71" s="972"/>
    </row>
    <row r="72" spans="1:10" ht="15.75" x14ac:dyDescent="0.25">
      <c r="A72" s="974">
        <v>71</v>
      </c>
      <c r="B72" s="1027" t="s">
        <v>159</v>
      </c>
      <c r="C72" s="972">
        <v>3670180</v>
      </c>
      <c r="D72" s="974">
        <v>71</v>
      </c>
      <c r="F72" s="693">
        <f t="shared" ref="F72:F131" si="3">C72</f>
        <v>3670180</v>
      </c>
      <c r="G72" s="973" t="s">
        <v>159</v>
      </c>
      <c r="H72" s="693" t="s">
        <v>98</v>
      </c>
      <c r="J72" s="972"/>
    </row>
    <row r="73" spans="1:10" ht="15.75" x14ac:dyDescent="0.25">
      <c r="A73" s="974">
        <v>72</v>
      </c>
      <c r="B73" s="1027" t="s">
        <v>259</v>
      </c>
      <c r="C73" s="972">
        <v>3055108</v>
      </c>
      <c r="D73" s="974">
        <v>72</v>
      </c>
      <c r="F73" s="693">
        <f t="shared" si="3"/>
        <v>3055108</v>
      </c>
      <c r="G73" s="973" t="s">
        <v>259</v>
      </c>
      <c r="H73" s="693" t="s">
        <v>98</v>
      </c>
    </row>
    <row r="74" spans="1:10" ht="15.75" x14ac:dyDescent="0.25">
      <c r="A74" s="974">
        <v>73</v>
      </c>
      <c r="B74" s="1027" t="s">
        <v>260</v>
      </c>
      <c r="C74" s="972">
        <v>4150503</v>
      </c>
      <c r="D74" s="974">
        <v>73</v>
      </c>
      <c r="F74" s="693">
        <f t="shared" si="3"/>
        <v>4150503</v>
      </c>
      <c r="G74" s="973" t="s">
        <v>260</v>
      </c>
      <c r="H74" s="693" t="s">
        <v>98</v>
      </c>
    </row>
    <row r="75" spans="1:10" ht="15.75" x14ac:dyDescent="0.25">
      <c r="A75" s="974">
        <v>74</v>
      </c>
      <c r="B75" s="1027" t="s">
        <v>261</v>
      </c>
      <c r="C75" s="972">
        <v>3427609</v>
      </c>
      <c r="D75" s="974">
        <v>74</v>
      </c>
      <c r="F75" s="693">
        <f t="shared" si="3"/>
        <v>3427609</v>
      </c>
      <c r="G75" s="973" t="s">
        <v>261</v>
      </c>
      <c r="H75" s="693" t="s">
        <v>98</v>
      </c>
    </row>
    <row r="76" spans="1:10" ht="15.75" x14ac:dyDescent="0.25">
      <c r="A76" s="974">
        <v>75</v>
      </c>
      <c r="B76" s="1027"/>
      <c r="C76" s="972"/>
      <c r="D76" s="974">
        <v>75</v>
      </c>
      <c r="F76" s="693">
        <f t="shared" si="3"/>
        <v>0</v>
      </c>
      <c r="G76" s="973"/>
      <c r="H76" s="693" t="s">
        <v>310</v>
      </c>
    </row>
    <row r="77" spans="1:10" ht="15.75" x14ac:dyDescent="0.25">
      <c r="A77" s="974">
        <v>76</v>
      </c>
      <c r="B77" s="1027" t="s">
        <v>352</v>
      </c>
      <c r="C77" s="972">
        <v>4151038</v>
      </c>
      <c r="D77" s="974">
        <v>76</v>
      </c>
      <c r="F77" s="693">
        <f t="shared" si="3"/>
        <v>4151038</v>
      </c>
      <c r="G77" s="1012" t="s">
        <v>352</v>
      </c>
      <c r="H77" s="693" t="s">
        <v>98</v>
      </c>
    </row>
    <row r="78" spans="1:10" ht="15.75" x14ac:dyDescent="0.25">
      <c r="A78" s="974">
        <v>77</v>
      </c>
      <c r="B78" s="1027" t="s">
        <v>233</v>
      </c>
      <c r="C78" s="972">
        <v>4151178</v>
      </c>
      <c r="D78" s="974">
        <v>77</v>
      </c>
      <c r="F78" s="693">
        <f t="shared" si="3"/>
        <v>4151178</v>
      </c>
      <c r="G78" s="973" t="s">
        <v>233</v>
      </c>
      <c r="H78" s="693" t="s">
        <v>98</v>
      </c>
    </row>
    <row r="79" spans="1:10" ht="15.75" x14ac:dyDescent="0.25">
      <c r="A79" s="974">
        <v>78</v>
      </c>
      <c r="B79" s="1027" t="s">
        <v>262</v>
      </c>
      <c r="C79" s="972">
        <v>4150627</v>
      </c>
      <c r="D79" s="974">
        <v>78</v>
      </c>
      <c r="F79" s="693">
        <f t="shared" si="3"/>
        <v>4150627</v>
      </c>
      <c r="G79" s="973" t="s">
        <v>262</v>
      </c>
      <c r="H79" s="693" t="s">
        <v>98</v>
      </c>
    </row>
    <row r="80" spans="1:10" ht="15.75" x14ac:dyDescent="0.25">
      <c r="A80" s="974">
        <v>79</v>
      </c>
      <c r="B80" s="1027" t="s">
        <v>301</v>
      </c>
      <c r="C80" s="972">
        <v>4152409</v>
      </c>
      <c r="D80" s="974">
        <v>79</v>
      </c>
      <c r="F80" s="693">
        <f t="shared" si="3"/>
        <v>4152409</v>
      </c>
      <c r="G80" s="973" t="s">
        <v>301</v>
      </c>
      <c r="H80" s="693" t="s">
        <v>98</v>
      </c>
    </row>
    <row r="81" spans="1:8" ht="15.75" x14ac:dyDescent="0.25">
      <c r="A81" s="974">
        <v>80</v>
      </c>
      <c r="B81" s="1027" t="s">
        <v>263</v>
      </c>
      <c r="C81" s="972">
        <v>4151402</v>
      </c>
      <c r="D81" s="974">
        <v>80</v>
      </c>
      <c r="F81" s="693">
        <f t="shared" si="3"/>
        <v>4151402</v>
      </c>
      <c r="G81" s="973" t="s">
        <v>263</v>
      </c>
      <c r="H81" s="693" t="s">
        <v>98</v>
      </c>
    </row>
    <row r="82" spans="1:8" ht="15.75" x14ac:dyDescent="0.25">
      <c r="A82" s="974">
        <v>81</v>
      </c>
      <c r="B82" s="1027" t="s">
        <v>285</v>
      </c>
      <c r="C82" s="972">
        <v>4150600</v>
      </c>
      <c r="D82" s="974">
        <v>81</v>
      </c>
      <c r="F82" s="693">
        <f t="shared" si="3"/>
        <v>4150600</v>
      </c>
      <c r="G82" s="973" t="s">
        <v>285</v>
      </c>
      <c r="H82" s="693" t="s">
        <v>98</v>
      </c>
    </row>
    <row r="83" spans="1:8" ht="15.75" x14ac:dyDescent="0.25">
      <c r="A83" s="974">
        <v>82</v>
      </c>
      <c r="B83" s="1027" t="s">
        <v>300</v>
      </c>
      <c r="C83" s="972">
        <v>4151631</v>
      </c>
      <c r="D83" s="974">
        <v>82</v>
      </c>
      <c r="F83" s="693">
        <f t="shared" si="3"/>
        <v>4151631</v>
      </c>
      <c r="G83" s="973" t="s">
        <v>300</v>
      </c>
      <c r="H83" s="693" t="s">
        <v>98</v>
      </c>
    </row>
    <row r="84" spans="1:8" ht="15.75" x14ac:dyDescent="0.25">
      <c r="A84" s="974">
        <v>83</v>
      </c>
      <c r="B84" s="1027" t="s">
        <v>264</v>
      </c>
      <c r="C84" s="972">
        <v>4150791</v>
      </c>
      <c r="D84" s="974">
        <v>83</v>
      </c>
      <c r="F84" s="693">
        <f t="shared" si="3"/>
        <v>4150791</v>
      </c>
      <c r="G84" s="973" t="s">
        <v>264</v>
      </c>
      <c r="H84" s="693" t="s">
        <v>98</v>
      </c>
    </row>
    <row r="85" spans="1:8" ht="15.75" x14ac:dyDescent="0.25">
      <c r="A85" s="974">
        <v>84</v>
      </c>
      <c r="B85" s="1027" t="s">
        <v>265</v>
      </c>
      <c r="C85" s="972">
        <v>4151364</v>
      </c>
      <c r="D85" s="974">
        <v>84</v>
      </c>
      <c r="F85" s="693">
        <f t="shared" si="3"/>
        <v>4151364</v>
      </c>
      <c r="G85" s="973" t="s">
        <v>265</v>
      </c>
      <c r="H85" s="693" t="s">
        <v>98</v>
      </c>
    </row>
    <row r="86" spans="1:8" ht="15.75" x14ac:dyDescent="0.25">
      <c r="A86" s="974">
        <v>85</v>
      </c>
      <c r="B86" s="1027" t="s">
        <v>299</v>
      </c>
      <c r="C86" s="972">
        <v>3715027</v>
      </c>
      <c r="D86" s="974">
        <v>85</v>
      </c>
      <c r="F86" s="693">
        <f t="shared" si="3"/>
        <v>3715027</v>
      </c>
      <c r="G86" s="973" t="s">
        <v>299</v>
      </c>
      <c r="H86" s="693" t="s">
        <v>98</v>
      </c>
    </row>
    <row r="87" spans="1:8" ht="15.75" x14ac:dyDescent="0.25">
      <c r="A87" s="974">
        <v>86</v>
      </c>
      <c r="B87" s="1027" t="s">
        <v>266</v>
      </c>
      <c r="C87" s="972">
        <v>4150732</v>
      </c>
      <c r="D87" s="974">
        <v>86</v>
      </c>
      <c r="F87" s="693">
        <f t="shared" si="3"/>
        <v>4150732</v>
      </c>
      <c r="G87" s="973" t="s">
        <v>266</v>
      </c>
      <c r="H87" s="693" t="s">
        <v>98</v>
      </c>
    </row>
    <row r="88" spans="1:8" ht="15.75" x14ac:dyDescent="0.25">
      <c r="A88" s="974">
        <v>87</v>
      </c>
      <c r="B88" s="1027" t="s">
        <v>274</v>
      </c>
      <c r="C88" s="972">
        <v>4152441</v>
      </c>
      <c r="D88" s="974">
        <v>87</v>
      </c>
      <c r="F88" s="693">
        <f t="shared" si="3"/>
        <v>4152441</v>
      </c>
      <c r="G88" s="973" t="s">
        <v>274</v>
      </c>
      <c r="H88" s="693" t="s">
        <v>98</v>
      </c>
    </row>
    <row r="89" spans="1:8" ht="15.75" x14ac:dyDescent="0.25">
      <c r="A89" s="974">
        <v>88</v>
      </c>
      <c r="B89" s="1027" t="s">
        <v>298</v>
      </c>
      <c r="C89" s="972">
        <v>4190726</v>
      </c>
      <c r="D89" s="974">
        <v>88</v>
      </c>
      <c r="F89" s="693">
        <f t="shared" si="3"/>
        <v>4190726</v>
      </c>
      <c r="G89" s="1012" t="s">
        <v>298</v>
      </c>
      <c r="H89" s="693" t="s">
        <v>98</v>
      </c>
    </row>
    <row r="90" spans="1:8" ht="15.75" x14ac:dyDescent="0.25">
      <c r="A90" s="974">
        <v>89</v>
      </c>
      <c r="B90" s="1027" t="s">
        <v>340</v>
      </c>
      <c r="C90" s="972">
        <v>3699374</v>
      </c>
      <c r="D90" s="974">
        <v>89</v>
      </c>
      <c r="F90" s="693">
        <f t="shared" si="3"/>
        <v>3699374</v>
      </c>
      <c r="G90" s="1012" t="s">
        <v>340</v>
      </c>
      <c r="H90" s="693" t="s">
        <v>273</v>
      </c>
    </row>
    <row r="91" spans="1:8" ht="15.75" x14ac:dyDescent="0.25">
      <c r="A91" s="974">
        <v>90</v>
      </c>
      <c r="B91" s="1027" t="s">
        <v>341</v>
      </c>
      <c r="C91" s="972">
        <v>4190939</v>
      </c>
      <c r="D91" s="974">
        <v>90</v>
      </c>
      <c r="F91" s="693">
        <f t="shared" si="3"/>
        <v>4190939</v>
      </c>
      <c r="G91" s="1012" t="s">
        <v>341</v>
      </c>
      <c r="H91" s="693" t="s">
        <v>273</v>
      </c>
    </row>
    <row r="92" spans="1:8" ht="15.75" x14ac:dyDescent="0.25">
      <c r="A92" s="974">
        <v>91</v>
      </c>
      <c r="B92" s="1027" t="s">
        <v>342</v>
      </c>
      <c r="C92" s="972">
        <v>3865410</v>
      </c>
      <c r="D92" s="974">
        <v>91</v>
      </c>
      <c r="F92" s="693">
        <f t="shared" si="3"/>
        <v>3865410</v>
      </c>
      <c r="G92" s="1012" t="s">
        <v>342</v>
      </c>
      <c r="H92" s="693" t="s">
        <v>273</v>
      </c>
    </row>
    <row r="93" spans="1:8" ht="15.75" x14ac:dyDescent="0.25">
      <c r="A93" s="974">
        <v>92</v>
      </c>
      <c r="B93" s="1027" t="s">
        <v>280</v>
      </c>
      <c r="C93" s="972">
        <v>4749014</v>
      </c>
      <c r="D93" s="974">
        <v>92</v>
      </c>
      <c r="F93" s="693">
        <f t="shared" si="3"/>
        <v>4749014</v>
      </c>
      <c r="G93" s="973" t="s">
        <v>280</v>
      </c>
      <c r="H93" s="693" t="s">
        <v>97</v>
      </c>
    </row>
    <row r="94" spans="1:8" ht="15.75" x14ac:dyDescent="0.25">
      <c r="A94" s="974">
        <v>93</v>
      </c>
      <c r="B94" s="1027" t="s">
        <v>279</v>
      </c>
      <c r="C94" s="972">
        <v>4750195</v>
      </c>
      <c r="D94" s="974">
        <v>93</v>
      </c>
      <c r="F94" s="693">
        <f t="shared" si="3"/>
        <v>4750195</v>
      </c>
      <c r="G94" s="973" t="s">
        <v>279</v>
      </c>
      <c r="H94" s="693" t="s">
        <v>97</v>
      </c>
    </row>
    <row r="95" spans="1:8" ht="15.75" x14ac:dyDescent="0.25">
      <c r="A95" s="974">
        <v>94</v>
      </c>
      <c r="B95" s="1027" t="s">
        <v>231</v>
      </c>
      <c r="C95" s="972">
        <v>4750527</v>
      </c>
      <c r="D95" s="974">
        <v>94</v>
      </c>
      <c r="F95" s="693">
        <f t="shared" si="3"/>
        <v>4750527</v>
      </c>
      <c r="G95" s="973" t="s">
        <v>231</v>
      </c>
      <c r="H95" s="693" t="s">
        <v>97</v>
      </c>
    </row>
    <row r="96" spans="1:8" ht="15.75" x14ac:dyDescent="0.25">
      <c r="A96" s="974">
        <v>95</v>
      </c>
      <c r="B96" s="1027" t="s">
        <v>335</v>
      </c>
      <c r="C96" s="972">
        <v>4749839</v>
      </c>
      <c r="D96" s="974">
        <v>95</v>
      </c>
      <c r="F96" s="693">
        <v>4749839</v>
      </c>
      <c r="G96" s="973" t="s">
        <v>335</v>
      </c>
      <c r="H96" s="693" t="s">
        <v>97</v>
      </c>
    </row>
    <row r="97" spans="1:8" ht="15.75" x14ac:dyDescent="0.25">
      <c r="A97" s="974">
        <v>96</v>
      </c>
      <c r="B97" s="1027" t="s">
        <v>191</v>
      </c>
      <c r="C97" s="972">
        <v>4750241</v>
      </c>
      <c r="D97" s="974">
        <v>96</v>
      </c>
      <c r="F97" s="693">
        <f t="shared" si="3"/>
        <v>4750241</v>
      </c>
      <c r="G97" s="973" t="s">
        <v>191</v>
      </c>
      <c r="H97" s="693" t="s">
        <v>97</v>
      </c>
    </row>
    <row r="98" spans="1:8" ht="15.75" x14ac:dyDescent="0.25">
      <c r="A98" s="974">
        <v>97</v>
      </c>
      <c r="B98" s="1027" t="s">
        <v>297</v>
      </c>
      <c r="C98" s="972">
        <v>4749367</v>
      </c>
      <c r="D98" s="974">
        <v>97</v>
      </c>
      <c r="F98" s="693">
        <f t="shared" si="3"/>
        <v>4749367</v>
      </c>
      <c r="G98" s="973" t="s">
        <v>297</v>
      </c>
      <c r="H98" s="693" t="s">
        <v>97</v>
      </c>
    </row>
    <row r="99" spans="1:8" ht="15.75" x14ac:dyDescent="0.25">
      <c r="A99" s="974">
        <v>98</v>
      </c>
      <c r="B99" s="1027" t="s">
        <v>296</v>
      </c>
      <c r="C99" s="972">
        <v>4749952</v>
      </c>
      <c r="D99" s="974">
        <v>98</v>
      </c>
      <c r="F99" s="693">
        <f t="shared" si="3"/>
        <v>4749952</v>
      </c>
      <c r="G99" s="973" t="s">
        <v>296</v>
      </c>
      <c r="H99" s="693" t="s">
        <v>273</v>
      </c>
    </row>
    <row r="100" spans="1:8" ht="15.75" x14ac:dyDescent="0.25">
      <c r="A100" s="974">
        <v>99</v>
      </c>
      <c r="B100" s="1027" t="s">
        <v>194</v>
      </c>
      <c r="C100" s="972">
        <v>4750128</v>
      </c>
      <c r="D100" s="974">
        <v>99</v>
      </c>
      <c r="F100" s="693">
        <f t="shared" si="3"/>
        <v>4750128</v>
      </c>
      <c r="G100" s="973" t="s">
        <v>194</v>
      </c>
      <c r="H100" s="693" t="s">
        <v>273</v>
      </c>
    </row>
    <row r="101" spans="1:8" ht="15.75" x14ac:dyDescent="0.25">
      <c r="A101" s="974">
        <v>100</v>
      </c>
      <c r="B101" s="1027" t="s">
        <v>267</v>
      </c>
      <c r="C101" s="972">
        <v>4749430</v>
      </c>
      <c r="D101" s="974">
        <v>100</v>
      </c>
      <c r="F101" s="693">
        <f t="shared" si="3"/>
        <v>4749430</v>
      </c>
      <c r="G101" s="973" t="s">
        <v>267</v>
      </c>
      <c r="H101" s="693" t="s">
        <v>97</v>
      </c>
    </row>
    <row r="102" spans="1:8" ht="15.75" x14ac:dyDescent="0.25">
      <c r="A102" s="974">
        <v>101</v>
      </c>
      <c r="B102" s="1027" t="s">
        <v>295</v>
      </c>
      <c r="C102" s="972">
        <v>4749340</v>
      </c>
      <c r="D102" s="974">
        <v>101</v>
      </c>
      <c r="F102" s="693">
        <f t="shared" si="3"/>
        <v>4749340</v>
      </c>
      <c r="G102" s="973" t="s">
        <v>196</v>
      </c>
      <c r="H102" s="693" t="s">
        <v>97</v>
      </c>
    </row>
    <row r="103" spans="1:8" ht="15.75" x14ac:dyDescent="0.25">
      <c r="A103" s="974">
        <v>102</v>
      </c>
      <c r="B103" s="1027" t="s">
        <v>192</v>
      </c>
      <c r="C103" s="972">
        <v>4749898</v>
      </c>
      <c r="D103" s="974">
        <v>102</v>
      </c>
      <c r="F103" s="693">
        <f t="shared" si="3"/>
        <v>4749898</v>
      </c>
      <c r="G103" s="973" t="s">
        <v>192</v>
      </c>
      <c r="H103" s="693" t="s">
        <v>97</v>
      </c>
    </row>
    <row r="104" spans="1:8" ht="15.75" x14ac:dyDescent="0.25">
      <c r="A104" s="974">
        <v>103</v>
      </c>
      <c r="B104" s="1027" t="s">
        <v>193</v>
      </c>
      <c r="C104" s="972">
        <v>4756959</v>
      </c>
      <c r="D104" s="974">
        <v>103</v>
      </c>
      <c r="F104" s="693">
        <f t="shared" si="3"/>
        <v>4756959</v>
      </c>
      <c r="G104" s="973" t="s">
        <v>193</v>
      </c>
      <c r="H104" s="693" t="s">
        <v>97</v>
      </c>
    </row>
    <row r="105" spans="1:8" ht="15.75" x14ac:dyDescent="0.25">
      <c r="A105" s="974">
        <v>104</v>
      </c>
      <c r="B105" s="1027" t="s">
        <v>195</v>
      </c>
      <c r="C105" s="972">
        <v>4750799</v>
      </c>
      <c r="D105" s="974">
        <v>104</v>
      </c>
      <c r="F105" s="693">
        <f t="shared" si="3"/>
        <v>4750799</v>
      </c>
      <c r="G105" s="973" t="s">
        <v>195</v>
      </c>
      <c r="H105" s="693" t="s">
        <v>97</v>
      </c>
    </row>
    <row r="106" spans="1:8" ht="15.75" x14ac:dyDescent="0.25">
      <c r="A106" s="974">
        <v>105</v>
      </c>
      <c r="B106" s="1027" t="s">
        <v>336</v>
      </c>
      <c r="C106" s="972">
        <v>3934497</v>
      </c>
      <c r="D106" s="974">
        <v>105</v>
      </c>
      <c r="F106" s="693">
        <f t="shared" si="3"/>
        <v>3934497</v>
      </c>
      <c r="G106" s="1012" t="s">
        <v>336</v>
      </c>
      <c r="H106" s="693" t="s">
        <v>97</v>
      </c>
    </row>
    <row r="107" spans="1:8" ht="15.75" x14ac:dyDescent="0.25">
      <c r="A107" s="974">
        <v>106</v>
      </c>
      <c r="B107" s="1027" t="s">
        <v>268</v>
      </c>
      <c r="C107" s="972">
        <v>4757122</v>
      </c>
      <c r="D107" s="974">
        <v>106</v>
      </c>
      <c r="F107" s="693">
        <f t="shared" si="3"/>
        <v>4757122</v>
      </c>
      <c r="G107" s="973" t="s">
        <v>268</v>
      </c>
      <c r="H107" s="693" t="s">
        <v>97</v>
      </c>
    </row>
    <row r="108" spans="1:8" ht="15.75" x14ac:dyDescent="0.25">
      <c r="A108" s="974">
        <v>107</v>
      </c>
      <c r="B108" s="1027" t="s">
        <v>230</v>
      </c>
      <c r="C108" s="972">
        <v>4749880</v>
      </c>
      <c r="D108" s="974">
        <v>107</v>
      </c>
      <c r="F108" s="693">
        <f t="shared" si="3"/>
        <v>4749880</v>
      </c>
      <c r="G108" s="973" t="s">
        <v>230</v>
      </c>
      <c r="H108" s="693" t="s">
        <v>97</v>
      </c>
    </row>
    <row r="109" spans="1:8" ht="15.75" x14ac:dyDescent="0.25">
      <c r="A109" s="974">
        <v>108</v>
      </c>
      <c r="B109" s="1027" t="s">
        <v>269</v>
      </c>
      <c r="C109" s="972">
        <v>4750667</v>
      </c>
      <c r="D109" s="974">
        <v>108</v>
      </c>
      <c r="F109" s="693">
        <f t="shared" si="3"/>
        <v>4750667</v>
      </c>
      <c r="G109" s="973" t="s">
        <v>269</v>
      </c>
      <c r="H109" s="693" t="s">
        <v>97</v>
      </c>
    </row>
    <row r="110" spans="1:8" ht="15.75" x14ac:dyDescent="0.25">
      <c r="A110" s="974">
        <v>109</v>
      </c>
      <c r="B110" s="1027" t="s">
        <v>288</v>
      </c>
      <c r="C110" s="972">
        <v>4750713</v>
      </c>
      <c r="D110" s="974">
        <v>109</v>
      </c>
      <c r="F110" s="693">
        <f t="shared" si="3"/>
        <v>4750713</v>
      </c>
      <c r="G110" s="973" t="s">
        <v>288</v>
      </c>
      <c r="H110" s="693" t="s">
        <v>97</v>
      </c>
    </row>
    <row r="111" spans="1:8" ht="15.75" x14ac:dyDescent="0.25">
      <c r="A111" s="974">
        <v>110</v>
      </c>
      <c r="B111" s="1027" t="s">
        <v>294</v>
      </c>
      <c r="C111" s="972">
        <v>4889533</v>
      </c>
      <c r="D111" s="974">
        <v>110</v>
      </c>
      <c r="F111" s="693">
        <f t="shared" si="3"/>
        <v>4889533</v>
      </c>
      <c r="G111" s="973" t="s">
        <v>294</v>
      </c>
      <c r="H111" s="693" t="s">
        <v>97</v>
      </c>
    </row>
    <row r="112" spans="1:8" ht="15.75" x14ac:dyDescent="0.25">
      <c r="A112" s="974">
        <v>111</v>
      </c>
      <c r="B112" s="1027" t="s">
        <v>337</v>
      </c>
      <c r="C112" s="972">
        <v>5023505</v>
      </c>
      <c r="D112" s="974">
        <v>111</v>
      </c>
      <c r="F112" s="693">
        <f t="shared" si="3"/>
        <v>5023505</v>
      </c>
      <c r="G112" s="973" t="s">
        <v>337</v>
      </c>
      <c r="H112" s="693" t="s">
        <v>97</v>
      </c>
    </row>
    <row r="113" spans="1:8" ht="15.75" x14ac:dyDescent="0.25">
      <c r="A113" s="974">
        <v>112</v>
      </c>
      <c r="B113" s="1027"/>
      <c r="C113" s="972"/>
      <c r="D113" s="974">
        <v>112</v>
      </c>
      <c r="F113" s="693">
        <f t="shared" si="3"/>
        <v>0</v>
      </c>
      <c r="G113" s="973"/>
      <c r="H113" s="693"/>
    </row>
    <row r="114" spans="1:8" ht="15.75" x14ac:dyDescent="0.25">
      <c r="A114" s="974">
        <v>113</v>
      </c>
      <c r="B114" s="1027"/>
      <c r="C114" s="972"/>
      <c r="D114" s="974">
        <v>113</v>
      </c>
      <c r="F114" s="693">
        <f t="shared" si="3"/>
        <v>0</v>
      </c>
      <c r="G114" s="973"/>
      <c r="H114" s="693"/>
    </row>
    <row r="115" spans="1:8" ht="15.75" x14ac:dyDescent="0.25">
      <c r="A115" s="974">
        <v>114</v>
      </c>
      <c r="B115" s="1027"/>
      <c r="C115" s="972"/>
      <c r="D115" s="974">
        <v>114</v>
      </c>
      <c r="F115" s="693">
        <f t="shared" si="3"/>
        <v>0</v>
      </c>
      <c r="G115" s="973"/>
      <c r="H115" s="693"/>
    </row>
    <row r="116" spans="1:8" ht="15.75" x14ac:dyDescent="0.25">
      <c r="A116" s="974">
        <v>115</v>
      </c>
      <c r="B116" s="1027"/>
      <c r="C116" s="972"/>
      <c r="D116" s="974">
        <v>115</v>
      </c>
      <c r="F116" s="693">
        <f t="shared" si="3"/>
        <v>0</v>
      </c>
      <c r="G116" s="973"/>
      <c r="H116" s="693"/>
    </row>
    <row r="117" spans="1:8" ht="15.75" x14ac:dyDescent="0.25">
      <c r="A117" s="974">
        <v>116</v>
      </c>
      <c r="B117" s="1027"/>
      <c r="C117" s="972"/>
      <c r="D117" s="974">
        <v>116</v>
      </c>
      <c r="F117" s="693">
        <f t="shared" si="3"/>
        <v>0</v>
      </c>
      <c r="G117" s="973"/>
      <c r="H117" s="693"/>
    </row>
    <row r="118" spans="1:8" ht="15.75" x14ac:dyDescent="0.25">
      <c r="A118" s="974">
        <v>117</v>
      </c>
      <c r="B118" s="1027"/>
      <c r="C118" s="972"/>
      <c r="D118" s="974">
        <v>117</v>
      </c>
      <c r="F118" s="693">
        <f t="shared" si="3"/>
        <v>0</v>
      </c>
      <c r="G118" s="973"/>
      <c r="H118" s="693"/>
    </row>
    <row r="119" spans="1:8" ht="15.75" x14ac:dyDescent="0.25">
      <c r="A119" s="975"/>
      <c r="B119" s="1012"/>
      <c r="C119" s="972"/>
      <c r="D119" s="975"/>
      <c r="F119" s="693">
        <f t="shared" si="3"/>
        <v>0</v>
      </c>
      <c r="G119" s="973"/>
      <c r="H119" s="693"/>
    </row>
    <row r="120" spans="1:8" ht="15.75" x14ac:dyDescent="0.25">
      <c r="A120" s="975"/>
      <c r="B120" s="1012"/>
      <c r="C120" s="972"/>
      <c r="D120" s="975"/>
      <c r="F120" s="693">
        <f t="shared" si="3"/>
        <v>0</v>
      </c>
      <c r="G120" s="973"/>
      <c r="H120" s="693"/>
    </row>
    <row r="121" spans="1:8" ht="15.75" x14ac:dyDescent="0.25">
      <c r="A121" s="975"/>
      <c r="B121" s="1012"/>
      <c r="C121" s="972"/>
      <c r="D121" s="975"/>
      <c r="F121" s="693">
        <f t="shared" si="3"/>
        <v>0</v>
      </c>
      <c r="G121" s="973"/>
      <c r="H121" s="693"/>
    </row>
    <row r="122" spans="1:8" ht="15.75" x14ac:dyDescent="0.25">
      <c r="A122" s="975"/>
      <c r="B122" s="1012"/>
      <c r="C122" s="972"/>
      <c r="D122" s="975"/>
      <c r="F122" s="693">
        <f t="shared" si="3"/>
        <v>0</v>
      </c>
      <c r="G122" s="973"/>
      <c r="H122" s="693"/>
    </row>
    <row r="123" spans="1:8" ht="15.75" x14ac:dyDescent="0.25">
      <c r="A123" s="975"/>
      <c r="B123" s="1012"/>
      <c r="C123" s="972"/>
      <c r="D123" s="975"/>
      <c r="F123" s="693">
        <f t="shared" si="3"/>
        <v>0</v>
      </c>
      <c r="G123" s="973"/>
      <c r="H123" s="693"/>
    </row>
    <row r="124" spans="1:8" ht="15.75" x14ac:dyDescent="0.25">
      <c r="A124" s="975"/>
      <c r="B124" s="1012"/>
      <c r="C124" s="972"/>
      <c r="D124" s="975"/>
      <c r="F124" s="693">
        <f t="shared" si="3"/>
        <v>0</v>
      </c>
      <c r="G124" s="973"/>
      <c r="H124" s="693"/>
    </row>
    <row r="125" spans="1:8" ht="15.75" x14ac:dyDescent="0.25">
      <c r="A125" s="975"/>
      <c r="B125" s="1012"/>
      <c r="C125" s="972"/>
      <c r="D125" s="975"/>
      <c r="F125" s="693">
        <f t="shared" si="3"/>
        <v>0</v>
      </c>
      <c r="G125" s="973"/>
      <c r="H125" s="693"/>
    </row>
    <row r="126" spans="1:8" ht="15.75" x14ac:dyDescent="0.25">
      <c r="A126" s="975"/>
      <c r="B126" s="1012"/>
      <c r="C126" s="972"/>
      <c r="D126" s="975"/>
      <c r="F126" s="693">
        <f t="shared" si="3"/>
        <v>0</v>
      </c>
      <c r="G126" s="973"/>
      <c r="H126" s="693"/>
    </row>
    <row r="127" spans="1:8" ht="15.75" x14ac:dyDescent="0.25">
      <c r="A127" s="975"/>
      <c r="B127" s="1012"/>
      <c r="C127" s="972"/>
      <c r="D127" s="975"/>
      <c r="F127" s="693">
        <f t="shared" si="3"/>
        <v>0</v>
      </c>
      <c r="G127" s="973"/>
      <c r="H127" s="693"/>
    </row>
    <row r="128" spans="1:8" ht="15.75" x14ac:dyDescent="0.25">
      <c r="A128" s="975"/>
      <c r="B128" s="1012"/>
      <c r="C128" s="972"/>
      <c r="D128" s="975"/>
      <c r="F128" s="693">
        <f t="shared" si="3"/>
        <v>0</v>
      </c>
      <c r="G128" s="973"/>
      <c r="H128" s="693"/>
    </row>
    <row r="129" spans="1:8" ht="15.75" x14ac:dyDescent="0.25">
      <c r="A129" s="975"/>
      <c r="B129" s="1012"/>
      <c r="C129" s="972"/>
      <c r="D129" s="975"/>
      <c r="F129" s="693">
        <f t="shared" si="3"/>
        <v>0</v>
      </c>
      <c r="G129" s="973"/>
      <c r="H129" s="693"/>
    </row>
    <row r="130" spans="1:8" ht="15.75" x14ac:dyDescent="0.25">
      <c r="A130" s="975"/>
      <c r="B130" s="1012"/>
      <c r="C130" s="972"/>
      <c r="D130" s="975"/>
      <c r="F130" s="693">
        <f t="shared" si="3"/>
        <v>0</v>
      </c>
      <c r="G130" s="973"/>
      <c r="H130" s="693"/>
    </row>
    <row r="131" spans="1:8" ht="15.75" x14ac:dyDescent="0.25">
      <c r="A131" s="975"/>
      <c r="B131" s="1012"/>
      <c r="C131" s="972"/>
      <c r="D131" s="975"/>
      <c r="F131" s="693">
        <f t="shared" si="3"/>
        <v>0</v>
      </c>
      <c r="G131" s="973"/>
      <c r="H131" s="693"/>
    </row>
    <row r="132" spans="1:8" x14ac:dyDescent="0.2">
      <c r="F132" s="693"/>
      <c r="G132" s="974"/>
    </row>
    <row r="133" spans="1:8" x14ac:dyDescent="0.2">
      <c r="F133" s="693"/>
      <c r="G133" s="974"/>
    </row>
    <row r="134" spans="1:8" x14ac:dyDescent="0.2">
      <c r="F134" s="693"/>
      <c r="G134" s="974"/>
    </row>
    <row r="135" spans="1:8" x14ac:dyDescent="0.2">
      <c r="F135" s="693"/>
      <c r="G135" s="974"/>
    </row>
    <row r="136" spans="1:8" x14ac:dyDescent="0.2">
      <c r="F136" s="693"/>
      <c r="G136" s="974"/>
    </row>
    <row r="137" spans="1:8" x14ac:dyDescent="0.2">
      <c r="F137" s="693"/>
      <c r="G137" s="974"/>
    </row>
    <row r="138" spans="1:8" x14ac:dyDescent="0.2">
      <c r="F138" s="693"/>
      <c r="G138" s="974"/>
    </row>
    <row r="139" spans="1:8" x14ac:dyDescent="0.2">
      <c r="F139" s="693"/>
      <c r="G139" s="974"/>
    </row>
  </sheetData>
  <autoFilter ref="A1:D112" xr:uid="{00000000-0009-0000-0000-000007000000}"/>
  <sortState xmlns:xlrd2="http://schemas.microsoft.com/office/spreadsheetml/2017/richdata2" ref="A8:D112">
    <sortCondition ref="D1:D112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BF74"/>
  <sheetViews>
    <sheetView view="pageBreakPreview" zoomScale="90" zoomScaleNormal="90" zoomScaleSheetLayoutView="90" workbookViewId="0">
      <selection activeCell="A9" sqref="A9:BC13"/>
    </sheetView>
  </sheetViews>
  <sheetFormatPr defaultRowHeight="12.75" x14ac:dyDescent="0.2"/>
  <cols>
    <col min="1" max="1" width="22.7109375" style="184" customWidth="1"/>
    <col min="2" max="2" width="9.140625" style="184" customWidth="1"/>
    <col min="3" max="3" width="10.5703125" style="184" customWidth="1"/>
    <col min="4" max="4" width="10.28515625" style="184" customWidth="1"/>
    <col min="5" max="32" width="4.7109375" style="184" customWidth="1"/>
    <col min="33" max="33" width="4.5703125" style="184" hidden="1" customWidth="1"/>
    <col min="34" max="36" width="4.7109375" style="184" hidden="1" customWidth="1"/>
    <col min="37" max="37" width="5.28515625" style="184" hidden="1" customWidth="1"/>
    <col min="38" max="40" width="4.7109375" style="184" hidden="1" customWidth="1"/>
    <col min="41" max="41" width="4.85546875" style="184" hidden="1" customWidth="1"/>
    <col min="42" max="42" width="4.42578125" style="184" hidden="1" customWidth="1"/>
    <col min="43" max="46" width="4.85546875" style="184" hidden="1" customWidth="1"/>
    <col min="47" max="49" width="4.7109375" style="184" hidden="1" customWidth="1"/>
    <col min="50" max="50" width="4.5703125" style="184" hidden="1" customWidth="1"/>
    <col min="51" max="53" width="4.7109375" style="184" hidden="1" customWidth="1"/>
    <col min="54" max="54" width="4.5703125" style="184" hidden="1" customWidth="1"/>
    <col min="55" max="55" width="5" style="184" customWidth="1"/>
    <col min="56" max="56" width="4.7109375" style="184" hidden="1" customWidth="1"/>
    <col min="57" max="57" width="5" style="184" hidden="1" customWidth="1"/>
    <col min="58" max="58" width="12.85546875" style="184" customWidth="1"/>
    <col min="59" max="16384" width="9.140625" style="184"/>
  </cols>
  <sheetData>
    <row r="1" spans="1:57" ht="18" customHeight="1" x14ac:dyDescent="0.2">
      <c r="A1" s="1250" t="s">
        <v>99</v>
      </c>
      <c r="B1" s="1250"/>
      <c r="C1" s="1250"/>
      <c r="D1" s="1250"/>
      <c r="E1" s="1250"/>
      <c r="F1" s="1250"/>
      <c r="G1" s="1250"/>
      <c r="H1" s="1250"/>
      <c r="I1" s="1250"/>
      <c r="J1" s="1250"/>
      <c r="K1" s="1250"/>
      <c r="L1" s="1250"/>
      <c r="M1" s="1250"/>
      <c r="N1" s="1250"/>
      <c r="O1" s="1250"/>
      <c r="P1" s="1250"/>
      <c r="Q1" s="1250"/>
      <c r="R1" s="1250"/>
      <c r="S1" s="1250"/>
      <c r="T1" s="1250"/>
      <c r="U1" s="1250"/>
      <c r="V1" s="1250"/>
      <c r="W1" s="1250"/>
      <c r="X1" s="1250"/>
      <c r="Y1" s="1250"/>
      <c r="Z1" s="1250"/>
      <c r="AA1" s="1250"/>
      <c r="AB1" s="1250"/>
      <c r="AC1" s="1250"/>
      <c r="AD1" s="1250"/>
      <c r="AE1" s="1250"/>
      <c r="AF1" s="1250"/>
      <c r="AG1" s="1250"/>
      <c r="AH1" s="1250"/>
      <c r="AI1" s="1250"/>
      <c r="AJ1" s="1250"/>
      <c r="AK1" s="1250"/>
    </row>
    <row r="2" spans="1:57" ht="18" customHeight="1" x14ac:dyDescent="0.2">
      <c r="A2" s="1250" t="s">
        <v>100</v>
      </c>
      <c r="B2" s="1250"/>
      <c r="C2" s="1250"/>
      <c r="D2" s="1250"/>
      <c r="E2" s="1250"/>
      <c r="F2" s="1250"/>
      <c r="G2" s="1250"/>
      <c r="H2" s="1250"/>
      <c r="I2" s="1250"/>
      <c r="J2" s="1250"/>
      <c r="K2" s="1250"/>
      <c r="L2" s="1250"/>
      <c r="M2" s="1250"/>
      <c r="N2" s="1250"/>
      <c r="O2" s="1250"/>
      <c r="P2" s="1250"/>
      <c r="Q2" s="1250"/>
      <c r="R2" s="1250"/>
      <c r="S2" s="1250"/>
      <c r="T2" s="1250"/>
      <c r="U2" s="1250"/>
      <c r="V2" s="1250"/>
      <c r="W2" s="1250"/>
      <c r="X2" s="1250"/>
      <c r="Y2" s="1250"/>
      <c r="Z2" s="1250"/>
      <c r="AA2" s="1250"/>
      <c r="AB2" s="1250"/>
      <c r="AC2" s="1250"/>
      <c r="AD2" s="1250"/>
      <c r="AE2" s="1250"/>
      <c r="AF2" s="1250"/>
      <c r="AG2" s="1250"/>
      <c r="AH2" s="1250"/>
      <c r="AI2" s="1250"/>
      <c r="AJ2" s="1250"/>
      <c r="AK2" s="1250"/>
    </row>
    <row r="3" spans="1:57" ht="18" customHeight="1" x14ac:dyDescent="0.2">
      <c r="A3" s="1253" t="s">
        <v>147</v>
      </c>
      <c r="B3" s="1253"/>
      <c r="C3" s="1253"/>
      <c r="D3" s="1253"/>
      <c r="E3" s="1253"/>
      <c r="F3" s="1253"/>
      <c r="G3" s="1253"/>
      <c r="H3" s="1253"/>
      <c r="I3" s="1253"/>
      <c r="J3" s="1253"/>
      <c r="K3" s="1253"/>
      <c r="L3" s="1253"/>
      <c r="M3" s="1253"/>
      <c r="N3" s="1253"/>
      <c r="O3" s="1253"/>
      <c r="P3" s="1253"/>
      <c r="Q3" s="1253"/>
      <c r="R3" s="1253"/>
      <c r="S3" s="1253"/>
      <c r="T3" s="1253"/>
      <c r="U3" s="1253"/>
      <c r="V3" s="1253"/>
      <c r="W3" s="1253"/>
      <c r="X3" s="1253"/>
      <c r="Y3" s="1253"/>
      <c r="Z3" s="1253"/>
      <c r="AA3" s="1253"/>
      <c r="AB3" s="1253"/>
      <c r="AC3" s="1253"/>
      <c r="AD3" s="1253"/>
      <c r="AE3" s="1253"/>
      <c r="AF3" s="1253"/>
      <c r="AG3" s="1253"/>
      <c r="AH3" s="1253"/>
      <c r="AI3" s="1253"/>
      <c r="AJ3" s="1253"/>
      <c r="AK3" s="1253"/>
    </row>
    <row r="4" spans="1:57" ht="18" customHeight="1" thickBot="1" x14ac:dyDescent="0.25">
      <c r="B4" s="1258"/>
      <c r="C4" s="1258"/>
      <c r="D4" s="1258"/>
      <c r="E4" s="1258"/>
      <c r="F4" s="1258"/>
      <c r="G4" s="1258"/>
      <c r="H4" s="1258"/>
      <c r="I4" s="1258"/>
      <c r="J4" s="1258"/>
      <c r="K4" s="1258"/>
      <c r="L4" s="1258"/>
      <c r="M4" s="1258"/>
      <c r="N4" s="1258"/>
      <c r="O4" s="1258"/>
      <c r="P4" s="1258"/>
      <c r="Q4" s="1258"/>
      <c r="R4" s="1258"/>
      <c r="S4" s="1258"/>
      <c r="T4" s="1258"/>
      <c r="U4" s="1258"/>
      <c r="V4" s="1258"/>
      <c r="W4" s="1258"/>
      <c r="X4" s="1258"/>
      <c r="Y4" s="1258"/>
      <c r="Z4" s="1258"/>
      <c r="AA4" s="1258"/>
      <c r="AB4" s="1258"/>
      <c r="AC4" s="1258"/>
      <c r="AD4" s="1258"/>
      <c r="AE4" s="1258"/>
      <c r="AF4" s="1258"/>
    </row>
    <row r="5" spans="1:57" ht="18" customHeight="1" thickBot="1" x14ac:dyDescent="0.25">
      <c r="A5" s="1123" t="s">
        <v>35</v>
      </c>
      <c r="B5" s="1124"/>
      <c r="C5" s="1124"/>
      <c r="D5" s="1124"/>
      <c r="E5" s="1184" t="s">
        <v>212</v>
      </c>
      <c r="F5" s="1185"/>
      <c r="G5" s="1185"/>
      <c r="H5" s="1185"/>
      <c r="I5" s="1185"/>
      <c r="J5" s="1185"/>
      <c r="K5" s="1185"/>
      <c r="L5" s="1185"/>
      <c r="M5" s="1185"/>
      <c r="N5" s="1185"/>
      <c r="O5" s="1185"/>
      <c r="P5" s="1185"/>
      <c r="Q5" s="1185"/>
      <c r="R5" s="1185"/>
      <c r="S5" s="1185"/>
      <c r="T5" s="1185"/>
      <c r="U5" s="1185"/>
      <c r="V5" s="1185"/>
      <c r="W5" s="1185"/>
      <c r="X5" s="1185"/>
      <c r="Y5" s="1185"/>
      <c r="Z5" s="1185"/>
      <c r="AA5" s="1185"/>
      <c r="AB5" s="1185"/>
      <c r="AC5" s="1185"/>
      <c r="AD5" s="1185"/>
      <c r="AE5" s="1185"/>
      <c r="AF5" s="1185"/>
      <c r="AG5" s="1185"/>
      <c r="AH5" s="1185"/>
      <c r="AI5" s="1185"/>
      <c r="AJ5" s="1185"/>
      <c r="AK5" s="1185"/>
      <c r="AL5" s="1185"/>
      <c r="AM5" s="1185"/>
      <c r="AN5" s="1185"/>
      <c r="AO5" s="1185"/>
      <c r="AP5" s="1185"/>
      <c r="AQ5" s="1185"/>
      <c r="AR5" s="1185"/>
      <c r="AS5" s="1185"/>
      <c r="AT5" s="1185"/>
      <c r="AU5" s="1185"/>
      <c r="AV5" s="1185"/>
      <c r="AW5" s="1185"/>
      <c r="AX5" s="1185"/>
      <c r="AY5" s="1185"/>
      <c r="AZ5" s="1185"/>
      <c r="BA5" s="1185"/>
      <c r="BB5" s="1185"/>
      <c r="BC5" s="1185"/>
      <c r="BD5" s="1185"/>
      <c r="BE5" s="1186"/>
    </row>
    <row r="6" spans="1:57" ht="18" customHeight="1" x14ac:dyDescent="0.2">
      <c r="A6" s="1077" t="s">
        <v>33</v>
      </c>
      <c r="B6" s="1078"/>
      <c r="C6" s="1263"/>
      <c r="D6" s="727" t="s">
        <v>17</v>
      </c>
      <c r="E6" s="847" t="str">
        <f>TEXT(E7,"ddd")</f>
        <v>qui</v>
      </c>
      <c r="F6" s="847" t="str">
        <f t="shared" ref="F6:BC6" si="0">TEXT(F7,"ddd")</f>
        <v>sex</v>
      </c>
      <c r="G6" s="847" t="str">
        <f t="shared" si="0"/>
        <v>sáb</v>
      </c>
      <c r="H6" s="847" t="str">
        <f t="shared" si="0"/>
        <v>dom</v>
      </c>
      <c r="I6" s="847" t="str">
        <f t="shared" si="0"/>
        <v>seg</v>
      </c>
      <c r="J6" s="847" t="str">
        <f t="shared" si="0"/>
        <v>ter</v>
      </c>
      <c r="K6" s="847" t="str">
        <f t="shared" si="0"/>
        <v>qua</v>
      </c>
      <c r="L6" s="847" t="str">
        <f t="shared" si="0"/>
        <v>qui</v>
      </c>
      <c r="M6" s="847" t="str">
        <f t="shared" si="0"/>
        <v>sex</v>
      </c>
      <c r="N6" s="847" t="str">
        <f t="shared" si="0"/>
        <v>sáb</v>
      </c>
      <c r="O6" s="847" t="str">
        <f t="shared" si="0"/>
        <v>dom</v>
      </c>
      <c r="P6" s="847" t="str">
        <f t="shared" si="0"/>
        <v>seg</v>
      </c>
      <c r="Q6" s="847" t="str">
        <f t="shared" si="0"/>
        <v>ter</v>
      </c>
      <c r="R6" s="847" t="str">
        <f t="shared" si="0"/>
        <v>qua</v>
      </c>
      <c r="S6" s="847" t="str">
        <f t="shared" si="0"/>
        <v>qui</v>
      </c>
      <c r="T6" s="847" t="str">
        <f t="shared" si="0"/>
        <v>sex</v>
      </c>
      <c r="U6" s="847" t="str">
        <f t="shared" si="0"/>
        <v>sáb</v>
      </c>
      <c r="V6" s="847" t="str">
        <f t="shared" si="0"/>
        <v>dom</v>
      </c>
      <c r="W6" s="847" t="str">
        <f t="shared" si="0"/>
        <v>seg</v>
      </c>
      <c r="X6" s="847" t="str">
        <f t="shared" si="0"/>
        <v>ter</v>
      </c>
      <c r="Y6" s="847" t="str">
        <f t="shared" si="0"/>
        <v>qua</v>
      </c>
      <c r="Z6" s="847" t="str">
        <f t="shared" si="0"/>
        <v>qui</v>
      </c>
      <c r="AA6" s="847" t="str">
        <f t="shared" si="0"/>
        <v>sex</v>
      </c>
      <c r="AB6" s="847" t="str">
        <f t="shared" si="0"/>
        <v>sáb</v>
      </c>
      <c r="AC6" s="847" t="str">
        <f t="shared" si="0"/>
        <v>dom</v>
      </c>
      <c r="AD6" s="847" t="str">
        <f t="shared" si="0"/>
        <v>seg</v>
      </c>
      <c r="AE6" s="847" t="str">
        <f t="shared" si="0"/>
        <v>ter</v>
      </c>
      <c r="AF6" s="847" t="str">
        <f t="shared" si="0"/>
        <v>qua</v>
      </c>
      <c r="AG6" s="847" t="str">
        <f t="shared" si="0"/>
        <v>qui</v>
      </c>
      <c r="AH6" s="847" t="str">
        <f t="shared" si="0"/>
        <v>sex</v>
      </c>
      <c r="AI6" s="847" t="str">
        <f t="shared" si="0"/>
        <v>sáb</v>
      </c>
      <c r="AJ6" s="847" t="str">
        <f t="shared" si="0"/>
        <v>dom</v>
      </c>
      <c r="AK6" s="847" t="str">
        <f t="shared" si="0"/>
        <v>seg</v>
      </c>
      <c r="AL6" s="847" t="str">
        <f t="shared" si="0"/>
        <v>ter</v>
      </c>
      <c r="AM6" s="847" t="str">
        <f t="shared" si="0"/>
        <v>qua</v>
      </c>
      <c r="AN6" s="847" t="str">
        <f t="shared" si="0"/>
        <v>qui</v>
      </c>
      <c r="AO6" s="847" t="str">
        <f t="shared" si="0"/>
        <v>sex</v>
      </c>
      <c r="AP6" s="847" t="str">
        <f t="shared" si="0"/>
        <v>sáb</v>
      </c>
      <c r="AQ6" s="847" t="str">
        <f t="shared" si="0"/>
        <v>dom</v>
      </c>
      <c r="AR6" s="847" t="str">
        <f t="shared" si="0"/>
        <v>seg</v>
      </c>
      <c r="AS6" s="847" t="str">
        <f t="shared" si="0"/>
        <v>ter</v>
      </c>
      <c r="AT6" s="847" t="str">
        <f t="shared" si="0"/>
        <v>qua</v>
      </c>
      <c r="AU6" s="847" t="str">
        <f t="shared" si="0"/>
        <v>qui</v>
      </c>
      <c r="AV6" s="847" t="str">
        <f t="shared" si="0"/>
        <v>sex</v>
      </c>
      <c r="AW6" s="847" t="str">
        <f t="shared" si="0"/>
        <v>sáb</v>
      </c>
      <c r="AX6" s="847" t="str">
        <f t="shared" si="0"/>
        <v>dom</v>
      </c>
      <c r="AY6" s="847" t="str">
        <f t="shared" si="0"/>
        <v>seg</v>
      </c>
      <c r="AZ6" s="847" t="str">
        <f t="shared" si="0"/>
        <v>ter</v>
      </c>
      <c r="BA6" s="847" t="str">
        <f t="shared" si="0"/>
        <v>qua</v>
      </c>
      <c r="BB6" s="847" t="str">
        <f t="shared" si="0"/>
        <v>qui</v>
      </c>
      <c r="BC6" s="847" t="str">
        <f t="shared" si="0"/>
        <v>qui</v>
      </c>
      <c r="BD6" s="786" t="s">
        <v>3</v>
      </c>
      <c r="BE6" s="787" t="s">
        <v>4</v>
      </c>
    </row>
    <row r="7" spans="1:57" ht="18" customHeight="1" thickBot="1" x14ac:dyDescent="0.25">
      <c r="A7" s="1080"/>
      <c r="B7" s="1081"/>
      <c r="C7" s="1264"/>
      <c r="D7" s="728"/>
      <c r="E7" s="928">
        <v>45323</v>
      </c>
      <c r="F7" s="928">
        <v>45324</v>
      </c>
      <c r="G7" s="928">
        <v>45325</v>
      </c>
      <c r="H7" s="928">
        <v>45326</v>
      </c>
      <c r="I7" s="928">
        <v>45327</v>
      </c>
      <c r="J7" s="928">
        <v>45328</v>
      </c>
      <c r="K7" s="928">
        <v>45329</v>
      </c>
      <c r="L7" s="928">
        <v>45330</v>
      </c>
      <c r="M7" s="928">
        <v>45331</v>
      </c>
      <c r="N7" s="928">
        <v>45332</v>
      </c>
      <c r="O7" s="928">
        <v>45333</v>
      </c>
      <c r="P7" s="928">
        <v>45334</v>
      </c>
      <c r="Q7" s="928">
        <v>45335</v>
      </c>
      <c r="R7" s="928">
        <v>45336</v>
      </c>
      <c r="S7" s="928">
        <v>45337</v>
      </c>
      <c r="T7" s="928">
        <v>45338</v>
      </c>
      <c r="U7" s="928">
        <v>45339</v>
      </c>
      <c r="V7" s="928">
        <v>45340</v>
      </c>
      <c r="W7" s="928">
        <v>45341</v>
      </c>
      <c r="X7" s="928">
        <v>45342</v>
      </c>
      <c r="Y7" s="928">
        <v>45343</v>
      </c>
      <c r="Z7" s="928">
        <v>45344</v>
      </c>
      <c r="AA7" s="928">
        <v>45345</v>
      </c>
      <c r="AB7" s="928">
        <v>45346</v>
      </c>
      <c r="AC7" s="928">
        <v>45347</v>
      </c>
      <c r="AD7" s="928">
        <v>45348</v>
      </c>
      <c r="AE7" s="928">
        <v>45349</v>
      </c>
      <c r="AF7" s="928">
        <v>45350</v>
      </c>
      <c r="AG7" s="928">
        <v>45351</v>
      </c>
      <c r="AH7" s="928">
        <v>45352</v>
      </c>
      <c r="AI7" s="928">
        <v>45353</v>
      </c>
      <c r="AJ7" s="928">
        <v>45354</v>
      </c>
      <c r="AK7" s="928">
        <v>45355</v>
      </c>
      <c r="AL7" s="928">
        <v>45356</v>
      </c>
      <c r="AM7" s="928">
        <v>45357</v>
      </c>
      <c r="AN7" s="928">
        <v>45358</v>
      </c>
      <c r="AO7" s="928">
        <v>45359</v>
      </c>
      <c r="AP7" s="928">
        <v>45360</v>
      </c>
      <c r="AQ7" s="928">
        <v>45361</v>
      </c>
      <c r="AR7" s="928">
        <v>45362</v>
      </c>
      <c r="AS7" s="928">
        <v>45363</v>
      </c>
      <c r="AT7" s="928">
        <v>45364</v>
      </c>
      <c r="AU7" s="928">
        <v>45365</v>
      </c>
      <c r="AV7" s="928">
        <v>45366</v>
      </c>
      <c r="AW7" s="928">
        <v>45367</v>
      </c>
      <c r="AX7" s="928">
        <v>45368</v>
      </c>
      <c r="AY7" s="928">
        <v>45369</v>
      </c>
      <c r="AZ7" s="928">
        <v>45370</v>
      </c>
      <c r="BA7" s="928">
        <v>45371</v>
      </c>
      <c r="BB7" s="928">
        <v>45372</v>
      </c>
      <c r="BC7" s="928">
        <v>45351</v>
      </c>
      <c r="BD7" s="788">
        <v>30</v>
      </c>
      <c r="BE7" s="789">
        <v>31</v>
      </c>
    </row>
    <row r="8" spans="1:57" ht="18" customHeight="1" thickBot="1" x14ac:dyDescent="0.25">
      <c r="A8" s="1217" t="s">
        <v>154</v>
      </c>
      <c r="B8" s="1218"/>
      <c r="C8" s="1262"/>
      <c r="D8" s="820">
        <v>3037770</v>
      </c>
      <c r="E8" s="859"/>
      <c r="F8" s="860"/>
      <c r="G8" s="860"/>
      <c r="H8" s="860"/>
      <c r="I8" s="860"/>
      <c r="J8" s="860"/>
      <c r="K8" s="860"/>
      <c r="L8" s="860"/>
      <c r="M8" s="860"/>
      <c r="N8" s="860"/>
      <c r="O8" s="860"/>
      <c r="P8" s="860"/>
      <c r="Q8" s="860"/>
      <c r="R8" s="860"/>
      <c r="S8" s="860"/>
      <c r="T8" s="860"/>
      <c r="U8" s="861"/>
      <c r="V8" s="862"/>
      <c r="W8" s="862"/>
      <c r="X8" s="862"/>
      <c r="Y8" s="862"/>
      <c r="Z8" s="862"/>
      <c r="AA8" s="862"/>
      <c r="AB8" s="862"/>
      <c r="AC8" s="862"/>
      <c r="AD8" s="862"/>
      <c r="AE8" s="862"/>
      <c r="AF8" s="862"/>
      <c r="AG8" s="862"/>
      <c r="AH8" s="862"/>
      <c r="AI8" s="862"/>
      <c r="AJ8" s="862"/>
      <c r="AK8" s="862"/>
      <c r="AL8" s="862"/>
      <c r="AM8" s="862"/>
      <c r="AN8" s="862"/>
      <c r="AO8" s="862"/>
      <c r="AP8" s="862"/>
      <c r="AQ8" s="862"/>
      <c r="AR8" s="862"/>
      <c r="AS8" s="862"/>
      <c r="AT8" s="862"/>
      <c r="AU8" s="862"/>
      <c r="AV8" s="862"/>
      <c r="AW8" s="862"/>
      <c r="AX8" s="862"/>
      <c r="AY8" s="862"/>
      <c r="AZ8" s="862"/>
      <c r="BA8" s="862"/>
      <c r="BB8" s="862"/>
      <c r="BC8" s="863"/>
      <c r="BD8" s="858"/>
      <c r="BE8" s="803"/>
    </row>
    <row r="9" spans="1:57" ht="18" customHeight="1" thickBot="1" x14ac:dyDescent="0.25">
      <c r="B9" s="1265"/>
      <c r="C9" s="1266"/>
      <c r="D9" s="1266"/>
      <c r="E9" s="1266"/>
      <c r="F9" s="1266"/>
      <c r="G9" s="1266"/>
      <c r="H9" s="1266"/>
      <c r="I9" s="1266"/>
      <c r="J9" s="1266"/>
      <c r="K9" s="1266"/>
      <c r="L9" s="1266"/>
      <c r="M9" s="1266"/>
      <c r="N9" s="1266"/>
      <c r="O9" s="1266"/>
      <c r="P9" s="1266"/>
      <c r="Q9" s="1266"/>
      <c r="R9" s="1266"/>
      <c r="S9" s="1266"/>
      <c r="T9" s="1266"/>
      <c r="U9" s="1266"/>
      <c r="V9" s="1266"/>
      <c r="W9" s="1266"/>
      <c r="X9" s="1266"/>
      <c r="Y9" s="1266"/>
      <c r="Z9" s="1266"/>
      <c r="AA9" s="1266"/>
      <c r="AB9" s="1266"/>
      <c r="AC9" s="1266"/>
      <c r="AD9" s="1266"/>
      <c r="AE9" s="1266"/>
      <c r="AF9" s="1266"/>
      <c r="AG9" s="1266"/>
      <c r="AH9" s="1266"/>
      <c r="AI9" s="1266"/>
      <c r="AJ9" s="1266"/>
      <c r="AK9" s="1266"/>
      <c r="AL9" s="1266"/>
      <c r="AM9" s="1266"/>
      <c r="AN9" s="1266"/>
      <c r="AO9" s="1267"/>
      <c r="AP9" s="594"/>
      <c r="AQ9" s="700"/>
      <c r="AR9" s="594"/>
      <c r="AS9" s="594"/>
      <c r="AT9" s="594"/>
      <c r="AU9" s="594"/>
    </row>
    <row r="10" spans="1:57" ht="18" customHeight="1" x14ac:dyDescent="0.2">
      <c r="A10" s="1260" t="s">
        <v>30</v>
      </c>
      <c r="B10" s="1254" t="s">
        <v>34</v>
      </c>
      <c r="C10" s="1255"/>
      <c r="D10" s="1268" t="s">
        <v>17</v>
      </c>
      <c r="E10" s="847" t="str">
        <f>TEXT(E11,"ddd")</f>
        <v>qui</v>
      </c>
      <c r="F10" s="847" t="str">
        <f t="shared" ref="F10" si="1">TEXT(F11,"ddd")</f>
        <v>sex</v>
      </c>
      <c r="G10" s="847" t="str">
        <f t="shared" ref="G10" si="2">TEXT(G11,"ddd")</f>
        <v>sáb</v>
      </c>
      <c r="H10" s="847" t="str">
        <f t="shared" ref="H10" si="3">TEXT(H11,"ddd")</f>
        <v>dom</v>
      </c>
      <c r="I10" s="847" t="str">
        <f t="shared" ref="I10" si="4">TEXT(I11,"ddd")</f>
        <v>seg</v>
      </c>
      <c r="J10" s="847" t="str">
        <f t="shared" ref="J10" si="5">TEXT(J11,"ddd")</f>
        <v>ter</v>
      </c>
      <c r="K10" s="847" t="str">
        <f t="shared" ref="K10" si="6">TEXT(K11,"ddd")</f>
        <v>qua</v>
      </c>
      <c r="L10" s="847" t="str">
        <f t="shared" ref="L10" si="7">TEXT(L11,"ddd")</f>
        <v>qui</v>
      </c>
      <c r="M10" s="847" t="str">
        <f t="shared" ref="M10" si="8">TEXT(M11,"ddd")</f>
        <v>sex</v>
      </c>
      <c r="N10" s="847" t="str">
        <f t="shared" ref="N10" si="9">TEXT(N11,"ddd")</f>
        <v>sáb</v>
      </c>
      <c r="O10" s="847" t="str">
        <f t="shared" ref="O10" si="10">TEXT(O11,"ddd")</f>
        <v>dom</v>
      </c>
      <c r="P10" s="847" t="str">
        <f t="shared" ref="P10" si="11">TEXT(P11,"ddd")</f>
        <v>seg</v>
      </c>
      <c r="Q10" s="847" t="str">
        <f t="shared" ref="Q10" si="12">TEXT(Q11,"ddd")</f>
        <v>ter</v>
      </c>
      <c r="R10" s="847" t="str">
        <f t="shared" ref="R10" si="13">TEXT(R11,"ddd")</f>
        <v>qua</v>
      </c>
      <c r="S10" s="847" t="str">
        <f t="shared" ref="S10" si="14">TEXT(S11,"ddd")</f>
        <v>qui</v>
      </c>
      <c r="T10" s="847" t="str">
        <f t="shared" ref="T10" si="15">TEXT(T11,"ddd")</f>
        <v>sex</v>
      </c>
      <c r="U10" s="847" t="str">
        <f t="shared" ref="U10" si="16">TEXT(U11,"ddd")</f>
        <v>sáb</v>
      </c>
      <c r="V10" s="847" t="str">
        <f t="shared" ref="V10" si="17">TEXT(V11,"ddd")</f>
        <v>dom</v>
      </c>
      <c r="W10" s="847" t="str">
        <f t="shared" ref="W10" si="18">TEXT(W11,"ddd")</f>
        <v>seg</v>
      </c>
      <c r="X10" s="847" t="str">
        <f t="shared" ref="X10" si="19">TEXT(X11,"ddd")</f>
        <v>ter</v>
      </c>
      <c r="Y10" s="847" t="str">
        <f t="shared" ref="Y10" si="20">TEXT(Y11,"ddd")</f>
        <v>qua</v>
      </c>
      <c r="Z10" s="847" t="str">
        <f t="shared" ref="Z10" si="21">TEXT(Z11,"ddd")</f>
        <v>qui</v>
      </c>
      <c r="AA10" s="847" t="str">
        <f t="shared" ref="AA10" si="22">TEXT(AA11,"ddd")</f>
        <v>sex</v>
      </c>
      <c r="AB10" s="847" t="str">
        <f t="shared" ref="AB10" si="23">TEXT(AB11,"ddd")</f>
        <v>sáb</v>
      </c>
      <c r="AC10" s="847" t="str">
        <f t="shared" ref="AC10" si="24">TEXT(AC11,"ddd")</f>
        <v>dom</v>
      </c>
      <c r="AD10" s="847" t="str">
        <f t="shared" ref="AD10" si="25">TEXT(AD11,"ddd")</f>
        <v>seg</v>
      </c>
      <c r="AE10" s="847" t="str">
        <f t="shared" ref="AE10" si="26">TEXT(AE11,"ddd")</f>
        <v>ter</v>
      </c>
      <c r="AF10" s="847" t="str">
        <f t="shared" ref="AF10" si="27">TEXT(AF11,"ddd")</f>
        <v>qua</v>
      </c>
      <c r="AG10" s="847" t="str">
        <f t="shared" ref="AG10" si="28">TEXT(AG11,"ddd")</f>
        <v>qui</v>
      </c>
      <c r="AH10" s="847" t="str">
        <f t="shared" ref="AH10" si="29">TEXT(AH11,"ddd")</f>
        <v>sex</v>
      </c>
      <c r="AI10" s="847" t="str">
        <f t="shared" ref="AI10" si="30">TEXT(AI11,"ddd")</f>
        <v>sáb</v>
      </c>
      <c r="AJ10" s="847" t="str">
        <f t="shared" ref="AJ10" si="31">TEXT(AJ11,"ddd")</f>
        <v>dom</v>
      </c>
      <c r="AK10" s="847" t="str">
        <f t="shared" ref="AK10" si="32">TEXT(AK11,"ddd")</f>
        <v>seg</v>
      </c>
      <c r="AL10" s="847" t="str">
        <f t="shared" ref="AL10" si="33">TEXT(AL11,"ddd")</f>
        <v>ter</v>
      </c>
      <c r="AM10" s="847" t="str">
        <f t="shared" ref="AM10" si="34">TEXT(AM11,"ddd")</f>
        <v>qua</v>
      </c>
      <c r="AN10" s="847" t="str">
        <f t="shared" ref="AN10" si="35">TEXT(AN11,"ddd")</f>
        <v>qui</v>
      </c>
      <c r="AO10" s="847" t="str">
        <f t="shared" ref="AO10" si="36">TEXT(AO11,"ddd")</f>
        <v>sex</v>
      </c>
      <c r="AP10" s="847" t="str">
        <f t="shared" ref="AP10" si="37">TEXT(AP11,"ddd")</f>
        <v>sáb</v>
      </c>
      <c r="AQ10" s="847" t="str">
        <f t="shared" ref="AQ10" si="38">TEXT(AQ11,"ddd")</f>
        <v>dom</v>
      </c>
      <c r="AR10" s="847" t="str">
        <f t="shared" ref="AR10" si="39">TEXT(AR11,"ddd")</f>
        <v>seg</v>
      </c>
      <c r="AS10" s="847" t="str">
        <f t="shared" ref="AS10" si="40">TEXT(AS11,"ddd")</f>
        <v>ter</v>
      </c>
      <c r="AT10" s="847" t="str">
        <f t="shared" ref="AT10" si="41">TEXT(AT11,"ddd")</f>
        <v>qua</v>
      </c>
      <c r="AU10" s="847" t="str">
        <f t="shared" ref="AU10" si="42">TEXT(AU11,"ddd")</f>
        <v>qui</v>
      </c>
      <c r="AV10" s="847" t="str">
        <f t="shared" ref="AV10" si="43">TEXT(AV11,"ddd")</f>
        <v>sex</v>
      </c>
      <c r="AW10" s="847" t="str">
        <f t="shared" ref="AW10" si="44">TEXT(AW11,"ddd")</f>
        <v>sáb</v>
      </c>
      <c r="AX10" s="847" t="str">
        <f t="shared" ref="AX10" si="45">TEXT(AX11,"ddd")</f>
        <v>dom</v>
      </c>
      <c r="AY10" s="847" t="str">
        <f t="shared" ref="AY10" si="46">TEXT(AY11,"ddd")</f>
        <v>seg</v>
      </c>
      <c r="AZ10" s="847" t="str">
        <f t="shared" ref="AZ10" si="47">TEXT(AZ11,"ddd")</f>
        <v>ter</v>
      </c>
      <c r="BA10" s="847" t="str">
        <f t="shared" ref="BA10" si="48">TEXT(BA11,"ddd")</f>
        <v>qua</v>
      </c>
      <c r="BB10" s="847" t="str">
        <f t="shared" ref="BB10" si="49">TEXT(BB11,"ddd")</f>
        <v>qui</v>
      </c>
      <c r="BC10" s="847" t="str">
        <f t="shared" ref="BC10" si="50">TEXT(BC11,"ddd")</f>
        <v>qui</v>
      </c>
      <c r="BD10" s="786" t="s">
        <v>3</v>
      </c>
      <c r="BE10" s="787" t="s">
        <v>4</v>
      </c>
    </row>
    <row r="11" spans="1:57" ht="18" customHeight="1" thickBot="1" x14ac:dyDescent="0.25">
      <c r="A11" s="1261"/>
      <c r="B11" s="1256"/>
      <c r="C11" s="1257"/>
      <c r="D11" s="1269"/>
      <c r="E11" s="927">
        <f>E7</f>
        <v>45323</v>
      </c>
      <c r="F11" s="927">
        <f t="shared" ref="F11:BE11" si="51">F7</f>
        <v>45324</v>
      </c>
      <c r="G11" s="927">
        <f t="shared" si="51"/>
        <v>45325</v>
      </c>
      <c r="H11" s="927">
        <f t="shared" si="51"/>
        <v>45326</v>
      </c>
      <c r="I11" s="927">
        <f t="shared" si="51"/>
        <v>45327</v>
      </c>
      <c r="J11" s="927">
        <f t="shared" si="51"/>
        <v>45328</v>
      </c>
      <c r="K11" s="927">
        <f t="shared" si="51"/>
        <v>45329</v>
      </c>
      <c r="L11" s="927">
        <f t="shared" si="51"/>
        <v>45330</v>
      </c>
      <c r="M11" s="927">
        <f t="shared" si="51"/>
        <v>45331</v>
      </c>
      <c r="N11" s="927">
        <f t="shared" si="51"/>
        <v>45332</v>
      </c>
      <c r="O11" s="927">
        <f t="shared" si="51"/>
        <v>45333</v>
      </c>
      <c r="P11" s="927">
        <f t="shared" si="51"/>
        <v>45334</v>
      </c>
      <c r="Q11" s="927">
        <f t="shared" si="51"/>
        <v>45335</v>
      </c>
      <c r="R11" s="927">
        <f t="shared" si="51"/>
        <v>45336</v>
      </c>
      <c r="S11" s="927">
        <f t="shared" si="51"/>
        <v>45337</v>
      </c>
      <c r="T11" s="927">
        <f t="shared" si="51"/>
        <v>45338</v>
      </c>
      <c r="U11" s="927">
        <f t="shared" si="51"/>
        <v>45339</v>
      </c>
      <c r="V11" s="927">
        <f t="shared" si="51"/>
        <v>45340</v>
      </c>
      <c r="W11" s="927">
        <f t="shared" si="51"/>
        <v>45341</v>
      </c>
      <c r="X11" s="927">
        <f t="shared" si="51"/>
        <v>45342</v>
      </c>
      <c r="Y11" s="927">
        <f t="shared" si="51"/>
        <v>45343</v>
      </c>
      <c r="Z11" s="927">
        <f t="shared" si="51"/>
        <v>45344</v>
      </c>
      <c r="AA11" s="927">
        <f t="shared" si="51"/>
        <v>45345</v>
      </c>
      <c r="AB11" s="927">
        <f t="shared" si="51"/>
        <v>45346</v>
      </c>
      <c r="AC11" s="927">
        <f t="shared" si="51"/>
        <v>45347</v>
      </c>
      <c r="AD11" s="927">
        <f t="shared" si="51"/>
        <v>45348</v>
      </c>
      <c r="AE11" s="927">
        <f t="shared" si="51"/>
        <v>45349</v>
      </c>
      <c r="AF11" s="927">
        <f t="shared" si="51"/>
        <v>45350</v>
      </c>
      <c r="AG11" s="927">
        <f t="shared" si="51"/>
        <v>45351</v>
      </c>
      <c r="AH11" s="927">
        <f t="shared" si="51"/>
        <v>45352</v>
      </c>
      <c r="AI11" s="927">
        <f t="shared" si="51"/>
        <v>45353</v>
      </c>
      <c r="AJ11" s="927">
        <f t="shared" si="51"/>
        <v>45354</v>
      </c>
      <c r="AK11" s="927">
        <f t="shared" si="51"/>
        <v>45355</v>
      </c>
      <c r="AL11" s="927">
        <f t="shared" si="51"/>
        <v>45356</v>
      </c>
      <c r="AM11" s="927">
        <f t="shared" si="51"/>
        <v>45357</v>
      </c>
      <c r="AN11" s="927">
        <f t="shared" si="51"/>
        <v>45358</v>
      </c>
      <c r="AO11" s="927">
        <f t="shared" si="51"/>
        <v>45359</v>
      </c>
      <c r="AP11" s="927">
        <f t="shared" si="51"/>
        <v>45360</v>
      </c>
      <c r="AQ11" s="927">
        <f t="shared" si="51"/>
        <v>45361</v>
      </c>
      <c r="AR11" s="927">
        <f t="shared" si="51"/>
        <v>45362</v>
      </c>
      <c r="AS11" s="927">
        <f t="shared" si="51"/>
        <v>45363</v>
      </c>
      <c r="AT11" s="927">
        <f t="shared" si="51"/>
        <v>45364</v>
      </c>
      <c r="AU11" s="927">
        <f t="shared" si="51"/>
        <v>45365</v>
      </c>
      <c r="AV11" s="927">
        <f t="shared" si="51"/>
        <v>45366</v>
      </c>
      <c r="AW11" s="927">
        <f t="shared" si="51"/>
        <v>45367</v>
      </c>
      <c r="AX11" s="927">
        <f t="shared" si="51"/>
        <v>45368</v>
      </c>
      <c r="AY11" s="927">
        <f t="shared" si="51"/>
        <v>45369</v>
      </c>
      <c r="AZ11" s="927">
        <f t="shared" si="51"/>
        <v>45370</v>
      </c>
      <c r="BA11" s="927">
        <f t="shared" si="51"/>
        <v>45371</v>
      </c>
      <c r="BB11" s="927">
        <f t="shared" si="51"/>
        <v>45372</v>
      </c>
      <c r="BC11" s="927">
        <f t="shared" si="51"/>
        <v>45351</v>
      </c>
      <c r="BD11" s="927">
        <f t="shared" si="51"/>
        <v>30</v>
      </c>
      <c r="BE11" s="927">
        <f t="shared" si="51"/>
        <v>31</v>
      </c>
    </row>
    <row r="12" spans="1:57" ht="18" customHeight="1" x14ac:dyDescent="0.2">
      <c r="A12" s="604" t="s">
        <v>150</v>
      </c>
      <c r="B12" s="1220" t="s">
        <v>189</v>
      </c>
      <c r="C12" s="1220"/>
      <c r="D12" s="790">
        <v>2778300</v>
      </c>
      <c r="E12" s="885"/>
      <c r="F12" s="865"/>
      <c r="G12" s="865"/>
      <c r="H12" s="865"/>
      <c r="I12" s="755"/>
      <c r="J12" s="886"/>
      <c r="K12" s="865"/>
      <c r="L12" s="743"/>
      <c r="M12" s="886"/>
      <c r="N12" s="886"/>
      <c r="O12" s="886"/>
      <c r="P12" s="865"/>
      <c r="Q12" s="865"/>
      <c r="R12" s="886"/>
      <c r="S12" s="886"/>
      <c r="T12" s="865"/>
      <c r="U12" s="802"/>
      <c r="V12" s="802"/>
      <c r="W12" s="775"/>
      <c r="X12" s="855"/>
      <c r="Y12" s="802"/>
      <c r="Z12" s="802"/>
      <c r="AA12" s="755"/>
      <c r="AB12" s="887"/>
      <c r="AC12" s="775"/>
      <c r="AD12" s="802"/>
      <c r="AE12" s="802"/>
      <c r="AF12" s="755"/>
      <c r="AG12" s="765"/>
      <c r="AH12" s="765"/>
      <c r="AI12" s="765"/>
      <c r="AJ12" s="765"/>
      <c r="AK12" s="765"/>
      <c r="AL12" s="765"/>
      <c r="AM12" s="765"/>
      <c r="AN12" s="765"/>
      <c r="AO12" s="765"/>
      <c r="AP12" s="765"/>
      <c r="AQ12" s="765"/>
      <c r="AR12" s="765"/>
      <c r="AS12" s="765"/>
      <c r="AT12" s="765"/>
      <c r="AU12" s="765"/>
      <c r="AV12" s="765"/>
      <c r="AW12" s="765"/>
      <c r="AX12" s="765"/>
      <c r="AY12" s="755"/>
      <c r="AZ12" s="755"/>
      <c r="BA12" s="755"/>
      <c r="BB12" s="775"/>
      <c r="BC12" s="888"/>
      <c r="BD12" s="835"/>
      <c r="BE12" s="828"/>
    </row>
    <row r="13" spans="1:57" ht="18" customHeight="1" thickBot="1" x14ac:dyDescent="0.25">
      <c r="A13" s="768" t="s">
        <v>182</v>
      </c>
      <c r="B13" s="1259" t="s">
        <v>190</v>
      </c>
      <c r="C13" s="1259"/>
      <c r="D13" s="799">
        <v>2777916</v>
      </c>
      <c r="E13" s="866"/>
      <c r="F13" s="757"/>
      <c r="G13" s="757"/>
      <c r="H13" s="757"/>
      <c r="I13" s="760"/>
      <c r="J13" s="735"/>
      <c r="K13" s="757"/>
      <c r="L13" s="757"/>
      <c r="M13" s="760"/>
      <c r="N13" s="760"/>
      <c r="O13" s="735"/>
      <c r="P13" s="757"/>
      <c r="Q13" s="757"/>
      <c r="R13" s="846"/>
      <c r="S13" s="846"/>
      <c r="T13" s="857"/>
      <c r="U13" s="759"/>
      <c r="V13" s="759"/>
      <c r="W13" s="735"/>
      <c r="X13" s="846"/>
      <c r="Y13" s="759"/>
      <c r="Z13" s="759"/>
      <c r="AA13" s="735"/>
      <c r="AB13" s="744"/>
      <c r="AC13" s="735"/>
      <c r="AD13" s="759"/>
      <c r="AE13" s="759"/>
      <c r="AF13" s="735"/>
      <c r="AG13" s="760"/>
      <c r="AH13" s="760"/>
      <c r="AI13" s="760"/>
      <c r="AJ13" s="760"/>
      <c r="AK13" s="760"/>
      <c r="AL13" s="760"/>
      <c r="AM13" s="760"/>
      <c r="AN13" s="760"/>
      <c r="AO13" s="760"/>
      <c r="AP13" s="760"/>
      <c r="AQ13" s="760"/>
      <c r="AR13" s="760"/>
      <c r="AS13" s="760"/>
      <c r="AT13" s="760"/>
      <c r="AU13" s="760"/>
      <c r="AV13" s="760"/>
      <c r="AW13" s="760"/>
      <c r="AX13" s="760"/>
      <c r="AY13" s="735"/>
      <c r="AZ13" s="735"/>
      <c r="BA13" s="735"/>
      <c r="BB13" s="740"/>
      <c r="BC13" s="770"/>
      <c r="BD13" s="864"/>
      <c r="BE13" s="733"/>
    </row>
    <row r="14" spans="1:57" ht="18" customHeight="1" x14ac:dyDescent="0.2">
      <c r="B14" s="580" t="s">
        <v>126</v>
      </c>
      <c r="C14" s="580"/>
      <c r="D14" s="580"/>
      <c r="F14" s="580"/>
      <c r="G14" s="580"/>
      <c r="H14" s="1245"/>
      <c r="I14" s="1245"/>
      <c r="J14" s="1245"/>
      <c r="K14" s="580"/>
      <c r="L14" s="583"/>
      <c r="N14" s="581"/>
      <c r="O14" s="581"/>
      <c r="P14" s="581"/>
      <c r="U14" s="581"/>
      <c r="V14" s="581"/>
      <c r="W14" s="581"/>
      <c r="X14" s="581"/>
      <c r="Y14" s="581"/>
      <c r="Z14" s="581"/>
      <c r="AA14" s="581"/>
      <c r="AB14" s="581"/>
      <c r="AC14" s="581"/>
      <c r="AD14" s="581"/>
      <c r="AE14" s="581"/>
      <c r="AF14" s="581"/>
    </row>
    <row r="15" spans="1:57" ht="18" customHeight="1" thickBot="1" x14ac:dyDescent="0.25">
      <c r="A15" s="75"/>
      <c r="B15" s="1053"/>
      <c r="C15" s="1053"/>
      <c r="D15" s="714"/>
      <c r="E15" s="580"/>
      <c r="F15" s="580"/>
      <c r="G15" s="580"/>
      <c r="H15" s="1245"/>
      <c r="I15" s="1245"/>
      <c r="J15" s="1245"/>
      <c r="K15" s="580"/>
      <c r="L15" s="583"/>
      <c r="N15" s="581"/>
      <c r="O15" s="581"/>
      <c r="P15" s="581"/>
      <c r="U15" s="581"/>
      <c r="V15" s="581"/>
      <c r="W15" s="581"/>
      <c r="X15" s="581"/>
      <c r="Y15" s="581"/>
      <c r="Z15" s="581"/>
      <c r="AA15" s="581"/>
      <c r="AB15" s="581"/>
      <c r="AC15" s="581"/>
      <c r="AD15" s="581"/>
      <c r="AE15" s="581"/>
      <c r="AF15" s="581"/>
    </row>
    <row r="16" spans="1:57" ht="18" customHeight="1" thickBot="1" x14ac:dyDescent="0.25">
      <c r="A16" s="746"/>
      <c r="B16" s="580"/>
      <c r="C16" s="580"/>
      <c r="D16" s="580"/>
      <c r="E16" s="580"/>
      <c r="F16" s="580"/>
      <c r="G16" s="580"/>
      <c r="H16" s="580"/>
      <c r="I16" s="580"/>
      <c r="J16" s="580"/>
      <c r="K16" s="580"/>
      <c r="N16" s="581"/>
      <c r="O16" s="581"/>
      <c r="P16" s="581"/>
      <c r="R16" s="1171"/>
      <c r="S16" s="1171"/>
      <c r="T16" s="1171"/>
      <c r="U16" s="1171"/>
      <c r="V16" s="1171"/>
      <c r="W16" s="1171"/>
      <c r="X16" s="1171"/>
      <c r="Y16" s="1171"/>
      <c r="Z16" s="1171"/>
      <c r="AA16" s="1171"/>
      <c r="AB16" s="1171"/>
      <c r="AC16" s="1171"/>
      <c r="AD16" s="581"/>
      <c r="AE16" s="581"/>
      <c r="AF16" s="581"/>
    </row>
    <row r="17" spans="1:58" ht="18" customHeight="1" thickBot="1" x14ac:dyDescent="0.25">
      <c r="A17" s="1123" t="s">
        <v>135</v>
      </c>
      <c r="B17" s="1124"/>
      <c r="C17" s="1124"/>
      <c r="D17" s="1124"/>
      <c r="E17" s="1184" t="s">
        <v>212</v>
      </c>
      <c r="F17" s="1185"/>
      <c r="G17" s="1185"/>
      <c r="H17" s="1185"/>
      <c r="I17" s="1185"/>
      <c r="J17" s="1185"/>
      <c r="K17" s="1185"/>
      <c r="L17" s="1185"/>
      <c r="M17" s="1185"/>
      <c r="N17" s="1185"/>
      <c r="O17" s="1185"/>
      <c r="P17" s="1185"/>
      <c r="Q17" s="1185"/>
      <c r="R17" s="1185"/>
      <c r="S17" s="1185"/>
      <c r="T17" s="1185"/>
      <c r="U17" s="1185"/>
      <c r="V17" s="1185"/>
      <c r="W17" s="1185"/>
      <c r="X17" s="1185"/>
      <c r="Y17" s="1185"/>
      <c r="Z17" s="1185"/>
      <c r="AA17" s="1185"/>
      <c r="AB17" s="1185"/>
      <c r="AC17" s="1185"/>
      <c r="AD17" s="1185"/>
      <c r="AE17" s="1185"/>
      <c r="AF17" s="1185"/>
      <c r="AG17" s="1185"/>
      <c r="AH17" s="1185"/>
      <c r="AI17" s="1185"/>
      <c r="AJ17" s="1185"/>
      <c r="AK17" s="1185"/>
      <c r="AL17" s="1185"/>
      <c r="AM17" s="1185"/>
      <c r="AN17" s="1185"/>
      <c r="AO17" s="1185"/>
      <c r="AP17" s="1185"/>
      <c r="AQ17" s="1185"/>
      <c r="AR17" s="1185"/>
      <c r="AS17" s="1185"/>
      <c r="AT17" s="1185"/>
      <c r="AU17" s="1185"/>
      <c r="AV17" s="1185"/>
      <c r="AW17" s="1185"/>
      <c r="AX17" s="1185"/>
      <c r="AY17" s="1185"/>
      <c r="AZ17" s="1185"/>
      <c r="BA17" s="1185"/>
      <c r="BB17" s="1185"/>
      <c r="BC17" s="1185"/>
      <c r="BD17" s="1185"/>
      <c r="BE17" s="1186"/>
    </row>
    <row r="18" spans="1:58" ht="18" customHeight="1" x14ac:dyDescent="0.2">
      <c r="A18" s="1223" t="s">
        <v>33</v>
      </c>
      <c r="B18" s="1224"/>
      <c r="C18" s="1225"/>
      <c r="D18" s="1229" t="s">
        <v>17</v>
      </c>
      <c r="E18" s="847" t="str">
        <f>TEXT(E19,"ddd")</f>
        <v>qui</v>
      </c>
      <c r="F18" s="847" t="str">
        <f t="shared" ref="F18" si="52">TEXT(F19,"ddd")</f>
        <v>sex</v>
      </c>
      <c r="G18" s="847" t="str">
        <f t="shared" ref="G18" si="53">TEXT(G19,"ddd")</f>
        <v>sáb</v>
      </c>
      <c r="H18" s="847" t="str">
        <f t="shared" ref="H18" si="54">TEXT(H19,"ddd")</f>
        <v>dom</v>
      </c>
      <c r="I18" s="847" t="str">
        <f t="shared" ref="I18" si="55">TEXT(I19,"ddd")</f>
        <v>seg</v>
      </c>
      <c r="J18" s="847" t="str">
        <f t="shared" ref="J18" si="56">TEXT(J19,"ddd")</f>
        <v>ter</v>
      </c>
      <c r="K18" s="847" t="str">
        <f t="shared" ref="K18" si="57">TEXT(K19,"ddd")</f>
        <v>qua</v>
      </c>
      <c r="L18" s="847" t="str">
        <f t="shared" ref="L18" si="58">TEXT(L19,"ddd")</f>
        <v>qui</v>
      </c>
      <c r="M18" s="847" t="str">
        <f t="shared" ref="M18" si="59">TEXT(M19,"ddd")</f>
        <v>sex</v>
      </c>
      <c r="N18" s="847" t="str">
        <f t="shared" ref="N18" si="60">TEXT(N19,"ddd")</f>
        <v>sáb</v>
      </c>
      <c r="O18" s="847" t="str">
        <f t="shared" ref="O18" si="61">TEXT(O19,"ddd")</f>
        <v>dom</v>
      </c>
      <c r="P18" s="847" t="str">
        <f t="shared" ref="P18" si="62">TEXT(P19,"ddd")</f>
        <v>seg</v>
      </c>
      <c r="Q18" s="847" t="str">
        <f t="shared" ref="Q18" si="63">TEXT(Q19,"ddd")</f>
        <v>ter</v>
      </c>
      <c r="R18" s="847" t="str">
        <f t="shared" ref="R18" si="64">TEXT(R19,"ddd")</f>
        <v>qua</v>
      </c>
      <c r="S18" s="847" t="str">
        <f t="shared" ref="S18" si="65">TEXT(S19,"ddd")</f>
        <v>qui</v>
      </c>
      <c r="T18" s="847" t="str">
        <f t="shared" ref="T18" si="66">TEXT(T19,"ddd")</f>
        <v>sex</v>
      </c>
      <c r="U18" s="847" t="str">
        <f t="shared" ref="U18" si="67">TEXT(U19,"ddd")</f>
        <v>sáb</v>
      </c>
      <c r="V18" s="847" t="str">
        <f t="shared" ref="V18" si="68">TEXT(V19,"ddd")</f>
        <v>dom</v>
      </c>
      <c r="W18" s="847" t="str">
        <f t="shared" ref="W18" si="69">TEXT(W19,"ddd")</f>
        <v>seg</v>
      </c>
      <c r="X18" s="847" t="str">
        <f t="shared" ref="X18" si="70">TEXT(X19,"ddd")</f>
        <v>ter</v>
      </c>
      <c r="Y18" s="847" t="str">
        <f t="shared" ref="Y18" si="71">TEXT(Y19,"ddd")</f>
        <v>qua</v>
      </c>
      <c r="Z18" s="847" t="str">
        <f t="shared" ref="Z18" si="72">TEXT(Z19,"ddd")</f>
        <v>qui</v>
      </c>
      <c r="AA18" s="847" t="str">
        <f t="shared" ref="AA18" si="73">TEXT(AA19,"ddd")</f>
        <v>sex</v>
      </c>
      <c r="AB18" s="847" t="str">
        <f t="shared" ref="AB18" si="74">TEXT(AB19,"ddd")</f>
        <v>sáb</v>
      </c>
      <c r="AC18" s="847" t="str">
        <f t="shared" ref="AC18" si="75">TEXT(AC19,"ddd")</f>
        <v>dom</v>
      </c>
      <c r="AD18" s="847" t="str">
        <f t="shared" ref="AD18" si="76">TEXT(AD19,"ddd")</f>
        <v>seg</v>
      </c>
      <c r="AE18" s="847" t="str">
        <f t="shared" ref="AE18" si="77">TEXT(AE19,"ddd")</f>
        <v>ter</v>
      </c>
      <c r="AF18" s="847" t="str">
        <f t="shared" ref="AF18" si="78">TEXT(AF19,"ddd")</f>
        <v>qua</v>
      </c>
      <c r="AG18" s="847" t="str">
        <f t="shared" ref="AG18" si="79">TEXT(AG19,"ddd")</f>
        <v>qui</v>
      </c>
      <c r="AH18" s="847" t="str">
        <f t="shared" ref="AH18" si="80">TEXT(AH19,"ddd")</f>
        <v>sex</v>
      </c>
      <c r="AI18" s="847" t="str">
        <f t="shared" ref="AI18" si="81">TEXT(AI19,"ddd")</f>
        <v>sáb</v>
      </c>
      <c r="AJ18" s="847" t="str">
        <f t="shared" ref="AJ18" si="82">TEXT(AJ19,"ddd")</f>
        <v>dom</v>
      </c>
      <c r="AK18" s="847" t="str">
        <f t="shared" ref="AK18" si="83">TEXT(AK19,"ddd")</f>
        <v>seg</v>
      </c>
      <c r="AL18" s="847" t="str">
        <f t="shared" ref="AL18" si="84">TEXT(AL19,"ddd")</f>
        <v>ter</v>
      </c>
      <c r="AM18" s="847" t="str">
        <f t="shared" ref="AM18" si="85">TEXT(AM19,"ddd")</f>
        <v>qua</v>
      </c>
      <c r="AN18" s="847" t="str">
        <f t="shared" ref="AN18" si="86">TEXT(AN19,"ddd")</f>
        <v>qui</v>
      </c>
      <c r="AO18" s="847" t="str">
        <f t="shared" ref="AO18" si="87">TEXT(AO19,"ddd")</f>
        <v>sex</v>
      </c>
      <c r="AP18" s="847" t="str">
        <f t="shared" ref="AP18" si="88">TEXT(AP19,"ddd")</f>
        <v>sáb</v>
      </c>
      <c r="AQ18" s="847" t="str">
        <f t="shared" ref="AQ18" si="89">TEXT(AQ19,"ddd")</f>
        <v>dom</v>
      </c>
      <c r="AR18" s="847" t="str">
        <f t="shared" ref="AR18" si="90">TEXT(AR19,"ddd")</f>
        <v>seg</v>
      </c>
      <c r="AS18" s="847" t="str">
        <f t="shared" ref="AS18" si="91">TEXT(AS19,"ddd")</f>
        <v>ter</v>
      </c>
      <c r="AT18" s="847" t="str">
        <f t="shared" ref="AT18" si="92">TEXT(AT19,"ddd")</f>
        <v>qua</v>
      </c>
      <c r="AU18" s="847" t="str">
        <f t="shared" ref="AU18" si="93">TEXT(AU19,"ddd")</f>
        <v>qui</v>
      </c>
      <c r="AV18" s="847" t="str">
        <f t="shared" ref="AV18" si="94">TEXT(AV19,"ddd")</f>
        <v>sex</v>
      </c>
      <c r="AW18" s="847" t="str">
        <f t="shared" ref="AW18" si="95">TEXT(AW19,"ddd")</f>
        <v>sáb</v>
      </c>
      <c r="AX18" s="847" t="str">
        <f t="shared" ref="AX18" si="96">TEXT(AX19,"ddd")</f>
        <v>dom</v>
      </c>
      <c r="AY18" s="847" t="str">
        <f t="shared" ref="AY18" si="97">TEXT(AY19,"ddd")</f>
        <v>seg</v>
      </c>
      <c r="AZ18" s="847" t="str">
        <f t="shared" ref="AZ18" si="98">TEXT(AZ19,"ddd")</f>
        <v>ter</v>
      </c>
      <c r="BA18" s="847" t="str">
        <f t="shared" ref="BA18" si="99">TEXT(BA19,"ddd")</f>
        <v>qua</v>
      </c>
      <c r="BB18" s="847" t="str">
        <f t="shared" ref="BB18" si="100">TEXT(BB19,"ddd")</f>
        <v>qui</v>
      </c>
      <c r="BC18" s="847" t="str">
        <f t="shared" ref="BC18" si="101">TEXT(BC19,"ddd")</f>
        <v>qui</v>
      </c>
      <c r="BD18" s="786" t="s">
        <v>3</v>
      </c>
      <c r="BE18" s="787" t="s">
        <v>4</v>
      </c>
    </row>
    <row r="19" spans="1:58" ht="18" customHeight="1" thickBot="1" x14ac:dyDescent="0.25">
      <c r="A19" s="1226"/>
      <c r="B19" s="1227"/>
      <c r="C19" s="1228"/>
      <c r="D19" s="1230"/>
      <c r="E19" s="927">
        <f>E7</f>
        <v>45323</v>
      </c>
      <c r="F19" s="927">
        <f t="shared" ref="F19:BC19" si="102">F7</f>
        <v>45324</v>
      </c>
      <c r="G19" s="927">
        <f t="shared" si="102"/>
        <v>45325</v>
      </c>
      <c r="H19" s="927">
        <f t="shared" si="102"/>
        <v>45326</v>
      </c>
      <c r="I19" s="927">
        <f t="shared" si="102"/>
        <v>45327</v>
      </c>
      <c r="J19" s="927">
        <f t="shared" si="102"/>
        <v>45328</v>
      </c>
      <c r="K19" s="927">
        <f t="shared" si="102"/>
        <v>45329</v>
      </c>
      <c r="L19" s="927">
        <f t="shared" si="102"/>
        <v>45330</v>
      </c>
      <c r="M19" s="927">
        <f t="shared" si="102"/>
        <v>45331</v>
      </c>
      <c r="N19" s="927">
        <f t="shared" si="102"/>
        <v>45332</v>
      </c>
      <c r="O19" s="927">
        <f t="shared" si="102"/>
        <v>45333</v>
      </c>
      <c r="P19" s="927">
        <f t="shared" si="102"/>
        <v>45334</v>
      </c>
      <c r="Q19" s="927">
        <f t="shared" si="102"/>
        <v>45335</v>
      </c>
      <c r="R19" s="927">
        <f t="shared" si="102"/>
        <v>45336</v>
      </c>
      <c r="S19" s="927">
        <f t="shared" si="102"/>
        <v>45337</v>
      </c>
      <c r="T19" s="927">
        <f t="shared" si="102"/>
        <v>45338</v>
      </c>
      <c r="U19" s="927">
        <f t="shared" si="102"/>
        <v>45339</v>
      </c>
      <c r="V19" s="927">
        <f t="shared" si="102"/>
        <v>45340</v>
      </c>
      <c r="W19" s="927">
        <f t="shared" si="102"/>
        <v>45341</v>
      </c>
      <c r="X19" s="927">
        <f t="shared" si="102"/>
        <v>45342</v>
      </c>
      <c r="Y19" s="927">
        <f t="shared" si="102"/>
        <v>45343</v>
      </c>
      <c r="Z19" s="927">
        <f t="shared" si="102"/>
        <v>45344</v>
      </c>
      <c r="AA19" s="927">
        <f t="shared" si="102"/>
        <v>45345</v>
      </c>
      <c r="AB19" s="927">
        <f t="shared" si="102"/>
        <v>45346</v>
      </c>
      <c r="AC19" s="927">
        <f t="shared" si="102"/>
        <v>45347</v>
      </c>
      <c r="AD19" s="927">
        <f t="shared" si="102"/>
        <v>45348</v>
      </c>
      <c r="AE19" s="927">
        <f t="shared" si="102"/>
        <v>45349</v>
      </c>
      <c r="AF19" s="927">
        <f t="shared" si="102"/>
        <v>45350</v>
      </c>
      <c r="AG19" s="927">
        <f t="shared" si="102"/>
        <v>45351</v>
      </c>
      <c r="AH19" s="927">
        <f t="shared" si="102"/>
        <v>45352</v>
      </c>
      <c r="AI19" s="927">
        <f t="shared" si="102"/>
        <v>45353</v>
      </c>
      <c r="AJ19" s="927">
        <f t="shared" si="102"/>
        <v>45354</v>
      </c>
      <c r="AK19" s="927">
        <f t="shared" si="102"/>
        <v>45355</v>
      </c>
      <c r="AL19" s="927">
        <f t="shared" si="102"/>
        <v>45356</v>
      </c>
      <c r="AM19" s="927">
        <f t="shared" si="102"/>
        <v>45357</v>
      </c>
      <c r="AN19" s="927">
        <f t="shared" si="102"/>
        <v>45358</v>
      </c>
      <c r="AO19" s="927">
        <f t="shared" si="102"/>
        <v>45359</v>
      </c>
      <c r="AP19" s="927">
        <f t="shared" si="102"/>
        <v>45360</v>
      </c>
      <c r="AQ19" s="927">
        <f t="shared" si="102"/>
        <v>45361</v>
      </c>
      <c r="AR19" s="927">
        <f t="shared" si="102"/>
        <v>45362</v>
      </c>
      <c r="AS19" s="927">
        <f t="shared" si="102"/>
        <v>45363</v>
      </c>
      <c r="AT19" s="927">
        <f t="shared" si="102"/>
        <v>45364</v>
      </c>
      <c r="AU19" s="927">
        <f t="shared" si="102"/>
        <v>45365</v>
      </c>
      <c r="AV19" s="927">
        <f t="shared" si="102"/>
        <v>45366</v>
      </c>
      <c r="AW19" s="927">
        <f t="shared" si="102"/>
        <v>45367</v>
      </c>
      <c r="AX19" s="927">
        <f t="shared" si="102"/>
        <v>45368</v>
      </c>
      <c r="AY19" s="927">
        <f t="shared" si="102"/>
        <v>45369</v>
      </c>
      <c r="AZ19" s="927">
        <f t="shared" si="102"/>
        <v>45370</v>
      </c>
      <c r="BA19" s="927">
        <f t="shared" si="102"/>
        <v>45371</v>
      </c>
      <c r="BB19" s="927">
        <f t="shared" si="102"/>
        <v>45372</v>
      </c>
      <c r="BC19" s="927">
        <f t="shared" si="102"/>
        <v>45351</v>
      </c>
      <c r="BD19" s="788">
        <v>30</v>
      </c>
      <c r="BE19" s="789">
        <v>31</v>
      </c>
    </row>
    <row r="20" spans="1:58" s="703" customFormat="1" ht="18" customHeight="1" x14ac:dyDescent="0.25">
      <c r="A20" s="1234" t="s">
        <v>163</v>
      </c>
      <c r="B20" s="1235"/>
      <c r="C20" s="1235"/>
      <c r="D20" s="821">
        <v>902382</v>
      </c>
      <c r="E20" s="806"/>
      <c r="F20" s="743"/>
      <c r="G20" s="802"/>
      <c r="H20" s="743"/>
      <c r="I20" s="743"/>
      <c r="J20" s="743"/>
      <c r="K20" s="802"/>
      <c r="L20" s="743"/>
      <c r="M20" s="804"/>
      <c r="N20" s="802"/>
      <c r="O20" s="807"/>
      <c r="P20" s="802"/>
      <c r="Q20" s="802"/>
      <c r="R20" s="802"/>
      <c r="S20" s="743"/>
      <c r="T20" s="802"/>
      <c r="U20" s="805"/>
      <c r="V20" s="802"/>
      <c r="W20" s="802"/>
      <c r="X20" s="743"/>
      <c r="Y20" s="802"/>
      <c r="Z20" s="802"/>
      <c r="AA20" s="802"/>
      <c r="AB20" s="743"/>
      <c r="AC20" s="802"/>
      <c r="AD20" s="802"/>
      <c r="AE20" s="802"/>
      <c r="AF20" s="802"/>
      <c r="AG20" s="802"/>
      <c r="AH20" s="802"/>
      <c r="AI20" s="802"/>
      <c r="AJ20" s="802"/>
      <c r="AK20" s="802"/>
      <c r="AL20" s="802"/>
      <c r="AM20" s="802"/>
      <c r="AN20" s="802"/>
      <c r="AO20" s="802"/>
      <c r="AP20" s="802"/>
      <c r="AQ20" s="802"/>
      <c r="AR20" s="802"/>
      <c r="AS20" s="802"/>
      <c r="AT20" s="802"/>
      <c r="AU20" s="802"/>
      <c r="AV20" s="802"/>
      <c r="AW20" s="802"/>
      <c r="AX20" s="802"/>
      <c r="AY20" s="802"/>
      <c r="AZ20" s="802"/>
      <c r="BA20" s="802"/>
      <c r="BB20" s="804"/>
      <c r="BC20" s="808"/>
      <c r="BD20" s="868"/>
      <c r="BE20" s="808"/>
      <c r="BF20" s="184"/>
    </row>
    <row r="21" spans="1:58" s="703" customFormat="1" ht="18" customHeight="1" x14ac:dyDescent="0.25">
      <c r="A21" s="1231" t="s">
        <v>181</v>
      </c>
      <c r="B21" s="1232"/>
      <c r="C21" s="1233"/>
      <c r="D21" s="822">
        <v>902000</v>
      </c>
      <c r="E21" s="809"/>
      <c r="F21" s="797"/>
      <c r="G21" s="797"/>
      <c r="H21" s="733"/>
      <c r="I21" s="733"/>
      <c r="J21" s="733"/>
      <c r="K21" s="797"/>
      <c r="L21" s="797"/>
      <c r="M21" s="797"/>
      <c r="N21" s="797"/>
      <c r="O21" s="797"/>
      <c r="P21" s="797"/>
      <c r="Q21" s="797"/>
      <c r="R21" s="797"/>
      <c r="S21" s="797"/>
      <c r="T21" s="797"/>
      <c r="U21" s="797"/>
      <c r="V21" s="797"/>
      <c r="W21" s="797"/>
      <c r="X21" s="797"/>
      <c r="Y21" s="797"/>
      <c r="Z21" s="797"/>
      <c r="AA21" s="797"/>
      <c r="AB21" s="797"/>
      <c r="AC21" s="797"/>
      <c r="AD21" s="797"/>
      <c r="AE21" s="797"/>
      <c r="AF21" s="797"/>
      <c r="AG21" s="797"/>
      <c r="AH21" s="797"/>
      <c r="AI21" s="797"/>
      <c r="AJ21" s="797"/>
      <c r="AK21" s="797"/>
      <c r="AL21" s="797"/>
      <c r="AM21" s="797"/>
      <c r="AN21" s="797"/>
      <c r="AO21" s="797"/>
      <c r="AP21" s="797"/>
      <c r="AQ21" s="797"/>
      <c r="AR21" s="797"/>
      <c r="AS21" s="797"/>
      <c r="AT21" s="797"/>
      <c r="AU21" s="797"/>
      <c r="AV21" s="797"/>
      <c r="AW21" s="797"/>
      <c r="AX21" s="797"/>
      <c r="AY21" s="797"/>
      <c r="AZ21" s="797"/>
      <c r="BA21" s="797"/>
      <c r="BB21" s="797"/>
      <c r="BC21" s="875"/>
      <c r="BD21" s="871"/>
      <c r="BE21" s="771"/>
      <c r="BF21" s="184"/>
    </row>
    <row r="22" spans="1:58" ht="18" customHeight="1" x14ac:dyDescent="0.2">
      <c r="A22" s="1251" t="s">
        <v>137</v>
      </c>
      <c r="B22" s="1252"/>
      <c r="C22" s="1252"/>
      <c r="D22" s="823">
        <v>903234</v>
      </c>
      <c r="E22" s="833"/>
      <c r="F22" s="706"/>
      <c r="G22" s="813"/>
      <c r="H22" s="813"/>
      <c r="I22" s="813"/>
      <c r="J22" s="813"/>
      <c r="K22" s="813"/>
      <c r="L22" s="813"/>
      <c r="M22" s="813"/>
      <c r="N22" s="813"/>
      <c r="O22" s="813"/>
      <c r="P22" s="813"/>
      <c r="Q22" s="813"/>
      <c r="R22" s="813"/>
      <c r="S22" s="813"/>
      <c r="T22" s="706"/>
      <c r="U22" s="849"/>
      <c r="V22" s="849"/>
      <c r="W22" s="849"/>
      <c r="X22" s="849"/>
      <c r="Y22" s="849"/>
      <c r="Z22" s="706"/>
      <c r="AA22" s="849"/>
      <c r="AB22" s="849"/>
      <c r="AC22" s="849"/>
      <c r="AD22" s="849"/>
      <c r="AE22" s="706"/>
      <c r="AF22" s="849"/>
      <c r="AG22" s="849"/>
      <c r="AH22" s="849"/>
      <c r="AI22" s="849"/>
      <c r="AJ22" s="849"/>
      <c r="AK22" s="849"/>
      <c r="AL22" s="849"/>
      <c r="AM22" s="849"/>
      <c r="AN22" s="849"/>
      <c r="AO22" s="849"/>
      <c r="AP22" s="849"/>
      <c r="AQ22" s="849"/>
      <c r="AR22" s="849"/>
      <c r="AS22" s="849"/>
      <c r="AT22" s="849"/>
      <c r="AU22" s="849"/>
      <c r="AV22" s="849"/>
      <c r="AW22" s="849"/>
      <c r="AX22" s="849"/>
      <c r="AY22" s="849"/>
      <c r="AZ22" s="849"/>
      <c r="BA22" s="849"/>
      <c r="BB22" s="849"/>
      <c r="BC22" s="876"/>
      <c r="BD22" s="872"/>
      <c r="BE22" s="850"/>
      <c r="BF22" s="748"/>
    </row>
    <row r="23" spans="1:58" ht="18" customHeight="1" thickBot="1" x14ac:dyDescent="0.3">
      <c r="A23" s="1190" t="s">
        <v>173</v>
      </c>
      <c r="B23" s="1191"/>
      <c r="C23" s="1191"/>
      <c r="D23" s="824">
        <v>2777959</v>
      </c>
      <c r="E23" s="800"/>
      <c r="F23" s="796"/>
      <c r="G23" s="796"/>
      <c r="H23" s="796"/>
      <c r="I23" s="796"/>
      <c r="J23" s="796"/>
      <c r="K23" s="796"/>
      <c r="L23" s="796"/>
      <c r="M23" s="796"/>
      <c r="N23" s="796"/>
      <c r="O23" s="796"/>
      <c r="P23" s="796"/>
      <c r="Q23" s="796"/>
      <c r="R23" s="796"/>
      <c r="S23" s="796"/>
      <c r="T23" s="796"/>
      <c r="U23" s="733"/>
      <c r="V23" s="797"/>
      <c r="W23" s="797"/>
      <c r="X23" s="797"/>
      <c r="Y23" s="797"/>
      <c r="Z23" s="797"/>
      <c r="AA23" s="797"/>
      <c r="AB23" s="797"/>
      <c r="AC23" s="797"/>
      <c r="AD23" s="797"/>
      <c r="AE23" s="797"/>
      <c r="AF23" s="797"/>
      <c r="AG23" s="797"/>
      <c r="AH23" s="797"/>
      <c r="AI23" s="797"/>
      <c r="AJ23" s="797"/>
      <c r="AK23" s="797"/>
      <c r="AL23" s="797"/>
      <c r="AM23" s="797"/>
      <c r="AN23" s="797"/>
      <c r="AO23" s="797"/>
      <c r="AP23" s="797"/>
      <c r="AQ23" s="797"/>
      <c r="AR23" s="797"/>
      <c r="AS23" s="797"/>
      <c r="AT23" s="797"/>
      <c r="AU23" s="797"/>
      <c r="AV23" s="797"/>
      <c r="AW23" s="797"/>
      <c r="AX23" s="797"/>
      <c r="AY23" s="797"/>
      <c r="AZ23" s="797"/>
      <c r="BA23" s="797"/>
      <c r="BB23" s="797"/>
      <c r="BC23" s="875"/>
      <c r="BD23" s="871"/>
      <c r="BE23" s="797"/>
    </row>
    <row r="24" spans="1:58" ht="18" customHeight="1" thickBot="1" x14ac:dyDescent="0.3">
      <c r="A24" s="1190" t="s">
        <v>143</v>
      </c>
      <c r="B24" s="1191"/>
      <c r="C24" s="1191"/>
      <c r="D24" s="824">
        <v>2691248</v>
      </c>
      <c r="E24" s="1187" t="s">
        <v>118</v>
      </c>
      <c r="F24" s="1188"/>
      <c r="G24" s="1188"/>
      <c r="H24" s="1188"/>
      <c r="I24" s="1188"/>
      <c r="J24" s="1188"/>
      <c r="K24" s="1188"/>
      <c r="L24" s="1188"/>
      <c r="M24" s="1188"/>
      <c r="N24" s="1188"/>
      <c r="O24" s="1188"/>
      <c r="P24" s="1188"/>
      <c r="Q24" s="1189"/>
      <c r="R24" s="797"/>
      <c r="S24" s="796"/>
      <c r="T24" s="796"/>
      <c r="U24" s="796"/>
      <c r="V24" s="796"/>
      <c r="W24" s="796"/>
      <c r="X24" s="796"/>
      <c r="Y24" s="796"/>
      <c r="Z24" s="796"/>
      <c r="AA24" s="796"/>
      <c r="AB24" s="796"/>
      <c r="AC24" s="796"/>
      <c r="AD24" s="796"/>
      <c r="AE24" s="796"/>
      <c r="AF24" s="796"/>
      <c r="AG24" s="796"/>
      <c r="AH24" s="796"/>
      <c r="AI24" s="796"/>
      <c r="AJ24" s="796"/>
      <c r="AK24" s="796"/>
      <c r="AL24" s="796"/>
      <c r="AM24" s="796"/>
      <c r="AN24" s="796"/>
      <c r="AO24" s="796"/>
      <c r="AP24" s="796"/>
      <c r="AQ24" s="796"/>
      <c r="AR24" s="796"/>
      <c r="AS24" s="796"/>
      <c r="AT24" s="796"/>
      <c r="AU24" s="796"/>
      <c r="AV24" s="796"/>
      <c r="AW24" s="796"/>
      <c r="AX24" s="796"/>
      <c r="AY24" s="796"/>
      <c r="AZ24" s="796"/>
      <c r="BA24" s="796"/>
      <c r="BB24" s="796"/>
      <c r="BC24" s="798"/>
      <c r="BD24" s="795"/>
      <c r="BE24" s="796"/>
    </row>
    <row r="25" spans="1:58" ht="18" customHeight="1" x14ac:dyDescent="0.25">
      <c r="A25" s="1221" t="s">
        <v>151</v>
      </c>
      <c r="B25" s="1222"/>
      <c r="C25" s="1222"/>
      <c r="D25" s="824">
        <v>2981513</v>
      </c>
      <c r="E25" s="829"/>
      <c r="F25" s="810"/>
      <c r="G25" s="810"/>
      <c r="H25" s="810"/>
      <c r="I25" s="810"/>
      <c r="J25" s="810"/>
      <c r="K25" s="810"/>
      <c r="L25" s="810"/>
      <c r="M25" s="810"/>
      <c r="N25" s="810"/>
      <c r="O25" s="810"/>
      <c r="P25" s="810"/>
      <c r="Q25" s="810"/>
      <c r="R25" s="810"/>
      <c r="S25" s="810"/>
      <c r="T25" s="810"/>
      <c r="U25" s="733"/>
      <c r="V25" s="810"/>
      <c r="W25" s="810"/>
      <c r="X25" s="810"/>
      <c r="Y25" s="810"/>
      <c r="Z25" s="733"/>
      <c r="AA25" s="810"/>
      <c r="AB25" s="810"/>
      <c r="AC25" s="733"/>
      <c r="AD25" s="810"/>
      <c r="AE25" s="810"/>
      <c r="AF25" s="733"/>
      <c r="AG25" s="810"/>
      <c r="AH25" s="810"/>
      <c r="AI25" s="810"/>
      <c r="AJ25" s="810"/>
      <c r="AK25" s="810"/>
      <c r="AL25" s="810"/>
      <c r="AM25" s="810"/>
      <c r="AN25" s="810"/>
      <c r="AO25" s="810"/>
      <c r="AP25" s="810"/>
      <c r="AQ25" s="810"/>
      <c r="AR25" s="810"/>
      <c r="AS25" s="810"/>
      <c r="AT25" s="810"/>
      <c r="AU25" s="810"/>
      <c r="AV25" s="810"/>
      <c r="AW25" s="810"/>
      <c r="AX25" s="810"/>
      <c r="AY25" s="810"/>
      <c r="AZ25" s="810"/>
      <c r="BA25" s="810"/>
      <c r="BB25" s="810"/>
      <c r="BC25" s="877"/>
      <c r="BD25" s="873"/>
      <c r="BE25" s="810"/>
    </row>
    <row r="26" spans="1:58" ht="18" customHeight="1" thickBot="1" x14ac:dyDescent="0.3">
      <c r="A26" s="1221" t="s">
        <v>142</v>
      </c>
      <c r="B26" s="1222"/>
      <c r="C26" s="1222"/>
      <c r="D26" s="817">
        <v>2991896</v>
      </c>
      <c r="E26" s="809"/>
      <c r="F26" s="797"/>
      <c r="G26" s="797"/>
      <c r="H26" s="797"/>
      <c r="I26" s="797"/>
      <c r="J26" s="797"/>
      <c r="K26" s="797"/>
      <c r="L26" s="797"/>
      <c r="M26" s="797"/>
      <c r="N26" s="797"/>
      <c r="O26" s="797"/>
      <c r="P26" s="797"/>
      <c r="Q26" s="797"/>
      <c r="R26" s="797"/>
      <c r="S26" s="801"/>
      <c r="T26" s="801"/>
      <c r="U26" s="801"/>
      <c r="V26" s="801"/>
      <c r="W26" s="801"/>
      <c r="X26" s="801"/>
      <c r="Y26" s="801"/>
      <c r="Z26" s="801"/>
      <c r="AA26" s="801"/>
      <c r="AB26" s="801"/>
      <c r="AC26" s="801"/>
      <c r="AD26" s="902"/>
      <c r="AE26" s="801"/>
      <c r="AF26" s="801"/>
      <c r="AG26" s="801"/>
      <c r="AH26" s="801"/>
      <c r="AI26" s="801"/>
      <c r="AJ26" s="801"/>
      <c r="AK26" s="801"/>
      <c r="AL26" s="801"/>
      <c r="AM26" s="801"/>
      <c r="AN26" s="801"/>
      <c r="AO26" s="801"/>
      <c r="AP26" s="801"/>
      <c r="AQ26" s="801"/>
      <c r="AR26" s="801"/>
      <c r="AS26" s="801"/>
      <c r="AT26" s="801"/>
      <c r="AU26" s="801"/>
      <c r="AV26" s="801"/>
      <c r="AW26" s="801"/>
      <c r="AX26" s="801"/>
      <c r="AY26" s="801"/>
      <c r="AZ26" s="801"/>
      <c r="BA26" s="801"/>
      <c r="BB26" s="801"/>
      <c r="BC26" s="876"/>
      <c r="BD26" s="871"/>
      <c r="BE26" s="771"/>
    </row>
    <row r="27" spans="1:58" ht="18" customHeight="1" thickBot="1" x14ac:dyDescent="0.3">
      <c r="A27" s="1190" t="s">
        <v>169</v>
      </c>
      <c r="B27" s="1191"/>
      <c r="C27" s="1191"/>
      <c r="D27" s="824">
        <v>2914085</v>
      </c>
      <c r="E27" s="906"/>
      <c r="F27" s="902"/>
      <c r="G27" s="902"/>
      <c r="H27" s="902"/>
      <c r="I27" s="902"/>
      <c r="J27" s="902"/>
      <c r="K27" s="706"/>
      <c r="L27" s="902"/>
      <c r="M27" s="902"/>
      <c r="N27" s="902"/>
      <c r="O27" s="902"/>
      <c r="P27" s="902"/>
      <c r="Q27" s="902"/>
      <c r="R27" s="901"/>
      <c r="S27" s="1199" t="s">
        <v>118</v>
      </c>
      <c r="T27" s="1200"/>
      <c r="U27" s="1200"/>
      <c r="V27" s="1200"/>
      <c r="W27" s="1200"/>
      <c r="X27" s="1200"/>
      <c r="Y27" s="1200"/>
      <c r="Z27" s="1200"/>
      <c r="AA27" s="1200"/>
      <c r="AB27" s="1200"/>
      <c r="AC27" s="1200"/>
      <c r="AD27" s="1200"/>
      <c r="AE27" s="1200"/>
      <c r="AF27" s="1200"/>
      <c r="AG27" s="1200"/>
      <c r="AH27" s="1200"/>
      <c r="AI27" s="1200"/>
      <c r="AJ27" s="1200"/>
      <c r="AK27" s="1200"/>
      <c r="AL27" s="1200"/>
      <c r="AM27" s="1200"/>
      <c r="AN27" s="1200"/>
      <c r="AO27" s="1200"/>
      <c r="AP27" s="1200"/>
      <c r="AQ27" s="1200"/>
      <c r="AR27" s="1200"/>
      <c r="AS27" s="1200"/>
      <c r="AT27" s="1200"/>
      <c r="AU27" s="1200"/>
      <c r="AV27" s="1200"/>
      <c r="AW27" s="1200"/>
      <c r="AX27" s="1200"/>
      <c r="AY27" s="1200"/>
      <c r="AZ27" s="1200"/>
      <c r="BA27" s="1200"/>
      <c r="BB27" s="1200"/>
      <c r="BC27" s="1201"/>
      <c r="BD27" s="871"/>
      <c r="BE27" s="830"/>
    </row>
    <row r="28" spans="1:58" ht="18" customHeight="1" thickBot="1" x14ac:dyDescent="0.25">
      <c r="A28" s="1192" t="s">
        <v>176</v>
      </c>
      <c r="B28" s="1193"/>
      <c r="C28" s="1194"/>
      <c r="D28" s="791">
        <v>2966220</v>
      </c>
      <c r="E28" s="1187" t="s">
        <v>118</v>
      </c>
      <c r="F28" s="1188"/>
      <c r="G28" s="1188"/>
      <c r="H28" s="1188"/>
      <c r="I28" s="1188"/>
      <c r="J28" s="1188"/>
      <c r="K28" s="1188"/>
      <c r="L28" s="1188"/>
      <c r="M28" s="1188"/>
      <c r="N28" s="1188"/>
      <c r="O28" s="1188"/>
      <c r="P28" s="1188"/>
      <c r="Q28" s="1189"/>
      <c r="R28" s="835"/>
      <c r="S28" s="793"/>
      <c r="T28" s="903"/>
      <c r="U28" s="793"/>
      <c r="V28" s="904"/>
      <c r="W28" s="905"/>
      <c r="X28" s="793"/>
      <c r="Y28" s="811"/>
      <c r="Z28" s="793"/>
      <c r="AA28" s="794"/>
      <c r="AB28" s="905"/>
      <c r="AC28" s="905"/>
      <c r="AD28" s="793"/>
      <c r="AE28" s="793"/>
      <c r="AF28" s="905"/>
      <c r="AG28" s="905"/>
      <c r="AH28" s="905"/>
      <c r="AI28" s="905"/>
      <c r="AJ28" s="905"/>
      <c r="AK28" s="905"/>
      <c r="AL28" s="905"/>
      <c r="AM28" s="905"/>
      <c r="AN28" s="905"/>
      <c r="AO28" s="905"/>
      <c r="AP28" s="905"/>
      <c r="AQ28" s="905"/>
      <c r="AR28" s="905"/>
      <c r="AS28" s="905"/>
      <c r="AT28" s="905"/>
      <c r="AU28" s="905"/>
      <c r="AV28" s="814"/>
      <c r="AW28" s="812"/>
      <c r="AX28" s="812"/>
      <c r="AY28" s="793"/>
      <c r="AZ28" s="812"/>
      <c r="BA28" s="812"/>
      <c r="BB28" s="812"/>
      <c r="BC28" s="834"/>
      <c r="BD28" s="867"/>
      <c r="BE28" s="771"/>
    </row>
    <row r="29" spans="1:58" ht="18" customHeight="1" thickBot="1" x14ac:dyDescent="0.3">
      <c r="A29" s="1175" t="s">
        <v>153</v>
      </c>
      <c r="B29" s="1176"/>
      <c r="C29" s="1176"/>
      <c r="D29" s="825">
        <v>3136302</v>
      </c>
      <c r="E29" s="907"/>
      <c r="F29" s="908"/>
      <c r="G29" s="909"/>
      <c r="H29" s="909"/>
      <c r="I29" s="909"/>
      <c r="J29" s="909"/>
      <c r="K29" s="909"/>
      <c r="L29" s="909"/>
      <c r="M29" s="909"/>
      <c r="N29" s="909"/>
      <c r="O29" s="909"/>
      <c r="P29" s="909"/>
      <c r="Q29" s="910"/>
      <c r="R29" s="815"/>
      <c r="S29" s="735"/>
      <c r="T29" s="815"/>
      <c r="U29" s="815"/>
      <c r="V29" s="815"/>
      <c r="W29" s="815"/>
      <c r="X29" s="735"/>
      <c r="Y29" s="815"/>
      <c r="Z29" s="815"/>
      <c r="AA29" s="815"/>
      <c r="AB29" s="815"/>
      <c r="AC29" s="815"/>
      <c r="AD29" s="735"/>
      <c r="AE29" s="815"/>
      <c r="AF29" s="815"/>
      <c r="AG29" s="815"/>
      <c r="AH29" s="815"/>
      <c r="AI29" s="815"/>
      <c r="AJ29" s="815"/>
      <c r="AK29" s="815"/>
      <c r="AL29" s="815"/>
      <c r="AM29" s="815"/>
      <c r="AN29" s="815"/>
      <c r="AO29" s="815"/>
      <c r="AP29" s="815"/>
      <c r="AQ29" s="815"/>
      <c r="AR29" s="815"/>
      <c r="AS29" s="815"/>
      <c r="AT29" s="815"/>
      <c r="AU29" s="815"/>
      <c r="AV29" s="815"/>
      <c r="AW29" s="815"/>
      <c r="AX29" s="815"/>
      <c r="AY29" s="815"/>
      <c r="AZ29" s="815"/>
      <c r="BA29" s="815"/>
      <c r="BB29" s="815"/>
      <c r="BC29" s="816"/>
      <c r="BD29" s="874"/>
      <c r="BE29" s="816"/>
    </row>
    <row r="30" spans="1:58" ht="18" customHeight="1" thickBot="1" x14ac:dyDescent="0.25">
      <c r="A30" s="1195"/>
      <c r="B30" s="1196"/>
      <c r="C30" s="1196"/>
      <c r="D30" s="1196"/>
      <c r="E30" s="1197"/>
      <c r="F30" s="1197"/>
      <c r="G30" s="1197"/>
      <c r="H30" s="1197"/>
      <c r="I30" s="1197"/>
      <c r="J30" s="1197"/>
      <c r="K30" s="1197"/>
      <c r="L30" s="1197"/>
      <c r="M30" s="1197"/>
      <c r="N30" s="1197"/>
      <c r="O30" s="1197"/>
      <c r="P30" s="1197"/>
      <c r="Q30" s="1197"/>
      <c r="R30" s="1197"/>
      <c r="S30" s="1197"/>
      <c r="T30" s="1197"/>
      <c r="U30" s="1197"/>
      <c r="V30" s="1197"/>
      <c r="W30" s="1197"/>
      <c r="X30" s="1197"/>
      <c r="Y30" s="1197"/>
      <c r="Z30" s="1197"/>
      <c r="AA30" s="1197"/>
      <c r="AB30" s="1197"/>
      <c r="AC30" s="1197"/>
      <c r="AD30" s="1197"/>
      <c r="AE30" s="1197"/>
      <c r="AF30" s="1197"/>
      <c r="AG30" s="1197"/>
      <c r="AH30" s="1197"/>
      <c r="AI30" s="1197"/>
      <c r="AJ30" s="1197"/>
      <c r="AK30" s="1197"/>
      <c r="AL30" s="1197"/>
      <c r="AM30" s="1197"/>
      <c r="AN30" s="1197"/>
      <c r="AO30" s="1197"/>
      <c r="AP30" s="1197"/>
      <c r="AQ30" s="1197"/>
      <c r="AR30" s="1197"/>
      <c r="AS30" s="1197"/>
      <c r="AT30" s="1197"/>
      <c r="AU30" s="1197"/>
      <c r="AV30" s="1197"/>
      <c r="AW30" s="1197"/>
      <c r="AX30" s="1197"/>
      <c r="AY30" s="1197"/>
      <c r="AZ30" s="1197"/>
      <c r="BA30" s="1197"/>
      <c r="BB30" s="1197"/>
      <c r="BC30" s="1197"/>
      <c r="BD30" s="1197"/>
      <c r="BE30" s="1198"/>
    </row>
    <row r="31" spans="1:58" ht="18" customHeight="1" thickBot="1" x14ac:dyDescent="0.25">
      <c r="A31" s="1123" t="s">
        <v>138</v>
      </c>
      <c r="B31" s="1124"/>
      <c r="C31" s="1124"/>
      <c r="D31" s="1125"/>
      <c r="E31" s="1177"/>
      <c r="F31" s="1178"/>
      <c r="G31" s="1178"/>
      <c r="H31" s="1178"/>
      <c r="I31" s="1178"/>
      <c r="J31" s="1178"/>
      <c r="K31" s="1178"/>
      <c r="L31" s="1178"/>
      <c r="M31" s="1178"/>
      <c r="N31" s="1178"/>
      <c r="O31" s="1178"/>
      <c r="P31" s="1178"/>
      <c r="Q31" s="1178"/>
      <c r="R31" s="1178"/>
      <c r="S31" s="1178"/>
      <c r="T31" s="1178"/>
      <c r="U31" s="1178"/>
      <c r="V31" s="1178"/>
      <c r="W31" s="1178"/>
      <c r="X31" s="1178"/>
      <c r="Y31" s="1178"/>
      <c r="Z31" s="1178"/>
      <c r="AA31" s="1178"/>
      <c r="AB31" s="1178"/>
      <c r="AC31" s="1178"/>
      <c r="AD31" s="1178"/>
      <c r="AE31" s="1178"/>
      <c r="AF31" s="1178"/>
      <c r="AG31" s="1178"/>
      <c r="AH31" s="1178"/>
      <c r="AI31" s="1178"/>
      <c r="AJ31" s="1178"/>
      <c r="AK31" s="1178"/>
      <c r="AL31" s="1178"/>
      <c r="AM31" s="1178"/>
      <c r="AN31" s="1178"/>
      <c r="AO31" s="1178"/>
      <c r="AP31" s="1178"/>
      <c r="AQ31" s="1178"/>
      <c r="AR31" s="1178"/>
      <c r="AS31" s="1178"/>
      <c r="AT31" s="1178"/>
      <c r="AU31" s="1178"/>
      <c r="AV31" s="1178"/>
      <c r="AW31" s="1178"/>
      <c r="AX31" s="1178"/>
      <c r="AY31" s="1178"/>
      <c r="AZ31" s="1178"/>
      <c r="BA31" s="1178"/>
      <c r="BB31" s="1178"/>
      <c r="BC31" s="1178"/>
      <c r="BD31" s="1178"/>
      <c r="BE31" s="1179"/>
    </row>
    <row r="32" spans="1:58" ht="18" customHeight="1" x14ac:dyDescent="0.2">
      <c r="A32" s="1180" t="s">
        <v>141</v>
      </c>
      <c r="B32" s="1181"/>
      <c r="C32" s="1181"/>
      <c r="D32" s="663">
        <v>2982390</v>
      </c>
      <c r="E32" s="921"/>
      <c r="F32" s="831"/>
      <c r="G32" s="831"/>
      <c r="H32" s="831"/>
      <c r="I32" s="831"/>
      <c r="J32" s="831"/>
      <c r="K32" s="831"/>
      <c r="L32" s="831"/>
      <c r="M32" s="831"/>
      <c r="N32" s="831"/>
      <c r="O32" s="831"/>
      <c r="P32" s="831"/>
      <c r="Q32" s="831"/>
      <c r="R32" s="831"/>
      <c r="S32" s="831"/>
      <c r="T32" s="831"/>
      <c r="U32" s="831"/>
      <c r="V32" s="831"/>
      <c r="W32" s="831"/>
      <c r="X32" s="831"/>
      <c r="Y32" s="831"/>
      <c r="Z32" s="831"/>
      <c r="AA32" s="831"/>
      <c r="AB32" s="831"/>
      <c r="AC32" s="831"/>
      <c r="AD32" s="831"/>
      <c r="AE32" s="734"/>
      <c r="AF32" s="743"/>
      <c r="AG32" s="734"/>
      <c r="AH32" s="734"/>
      <c r="AI32" s="734"/>
      <c r="AJ32" s="734"/>
      <c r="AK32" s="734"/>
      <c r="AL32" s="734"/>
      <c r="AM32" s="734"/>
      <c r="AN32" s="734"/>
      <c r="AO32" s="734"/>
      <c r="AP32" s="734"/>
      <c r="AQ32" s="734"/>
      <c r="AR32" s="734"/>
      <c r="AS32" s="734"/>
      <c r="AT32" s="734"/>
      <c r="AU32" s="734"/>
      <c r="AV32" s="734"/>
      <c r="AW32" s="734"/>
      <c r="AX32" s="734"/>
      <c r="AY32" s="734"/>
      <c r="AZ32" s="734"/>
      <c r="BA32" s="734"/>
      <c r="BB32" s="734"/>
      <c r="BC32" s="880"/>
      <c r="BD32" s="878"/>
      <c r="BE32" s="779"/>
    </row>
    <row r="33" spans="1:57" ht="18" customHeight="1" x14ac:dyDescent="0.2">
      <c r="A33" s="1172" t="s">
        <v>164</v>
      </c>
      <c r="B33" s="1173"/>
      <c r="C33" s="1173"/>
      <c r="D33" s="726">
        <v>901882</v>
      </c>
      <c r="E33" s="922"/>
      <c r="F33" s="737"/>
      <c r="G33" s="737"/>
      <c r="H33" s="737"/>
      <c r="I33" s="737"/>
      <c r="J33" s="737"/>
      <c r="K33" s="737"/>
      <c r="L33" s="737"/>
      <c r="M33" s="737"/>
      <c r="N33" s="737"/>
      <c r="O33" s="733"/>
      <c r="P33" s="737"/>
      <c r="Q33" s="737"/>
      <c r="R33" s="737"/>
      <c r="S33" s="737"/>
      <c r="T33" s="737"/>
      <c r="U33" s="737"/>
      <c r="V33" s="737"/>
      <c r="W33" s="737"/>
      <c r="X33" s="737"/>
      <c r="Y33" s="737"/>
      <c r="Z33" s="737"/>
      <c r="AA33" s="737"/>
      <c r="AB33" s="737"/>
      <c r="AC33" s="733"/>
      <c r="AD33" s="733"/>
      <c r="AE33" s="737"/>
      <c r="AF33" s="737"/>
      <c r="AG33" s="737"/>
      <c r="AH33" s="737"/>
      <c r="AI33" s="737"/>
      <c r="AJ33" s="737"/>
      <c r="AK33" s="737"/>
      <c r="AL33" s="737"/>
      <c r="AM33" s="737"/>
      <c r="AN33" s="737"/>
      <c r="AO33" s="737"/>
      <c r="AP33" s="737"/>
      <c r="AQ33" s="737"/>
      <c r="AR33" s="737"/>
      <c r="AS33" s="737"/>
      <c r="AT33" s="737"/>
      <c r="AU33" s="737"/>
      <c r="AV33" s="737"/>
      <c r="AW33" s="736"/>
      <c r="AX33" s="736"/>
      <c r="AY33" s="736"/>
      <c r="AZ33" s="736"/>
      <c r="BA33" s="736"/>
      <c r="BB33" s="736"/>
      <c r="BC33" s="771"/>
      <c r="BD33" s="867"/>
      <c r="BE33" s="771"/>
    </row>
    <row r="34" spans="1:57" ht="18" customHeight="1" x14ac:dyDescent="0.2">
      <c r="A34" s="1172" t="s">
        <v>160</v>
      </c>
      <c r="B34" s="1173"/>
      <c r="C34" s="1173"/>
      <c r="D34" s="726">
        <v>901912</v>
      </c>
      <c r="E34" s="923"/>
      <c r="F34" s="741"/>
      <c r="G34" s="741"/>
      <c r="H34" s="741"/>
      <c r="I34" s="741"/>
      <c r="J34" s="741"/>
      <c r="K34" s="741"/>
      <c r="L34" s="741"/>
      <c r="M34" s="741"/>
      <c r="N34" s="741"/>
      <c r="O34" s="741"/>
      <c r="P34" s="741"/>
      <c r="Q34" s="741"/>
      <c r="R34" s="741"/>
      <c r="S34" s="741"/>
      <c r="T34" s="741"/>
      <c r="U34" s="737"/>
      <c r="V34" s="738"/>
      <c r="W34" s="738"/>
      <c r="X34" s="738"/>
      <c r="Y34" s="733"/>
      <c r="Z34" s="738"/>
      <c r="AA34" s="733"/>
      <c r="AB34" s="738"/>
      <c r="AC34" s="738"/>
      <c r="AD34" s="738"/>
      <c r="AE34" s="738"/>
      <c r="AF34" s="738"/>
      <c r="AG34" s="738"/>
      <c r="AH34" s="738"/>
      <c r="AI34" s="738"/>
      <c r="AJ34" s="738"/>
      <c r="AK34" s="738"/>
      <c r="AL34" s="738"/>
      <c r="AM34" s="738"/>
      <c r="AN34" s="738"/>
      <c r="AO34" s="738"/>
      <c r="AP34" s="738"/>
      <c r="AQ34" s="738"/>
      <c r="AR34" s="738"/>
      <c r="AS34" s="738"/>
      <c r="AT34" s="738"/>
      <c r="AU34" s="738"/>
      <c r="AV34" s="737"/>
      <c r="AW34" s="736"/>
      <c r="AX34" s="736"/>
      <c r="AY34" s="736"/>
      <c r="AZ34" s="736"/>
      <c r="BA34" s="736"/>
      <c r="BB34" s="736"/>
      <c r="BC34" s="771"/>
      <c r="BD34" s="867"/>
      <c r="BE34" s="771"/>
    </row>
    <row r="35" spans="1:57" ht="18" customHeight="1" thickBot="1" x14ac:dyDescent="0.3">
      <c r="A35" s="1172" t="s">
        <v>188</v>
      </c>
      <c r="B35" s="1173"/>
      <c r="C35" s="1173"/>
      <c r="D35" s="926">
        <v>3269485</v>
      </c>
      <c r="E35" s="924"/>
      <c r="F35" s="917"/>
      <c r="G35" s="917"/>
      <c r="H35" s="917"/>
      <c r="I35" s="917"/>
      <c r="J35" s="917"/>
      <c r="K35" s="918"/>
      <c r="L35" s="917"/>
      <c r="M35" s="917"/>
      <c r="N35" s="917"/>
      <c r="O35" s="917"/>
      <c r="P35" s="917"/>
      <c r="Q35" s="917"/>
      <c r="R35" s="917"/>
      <c r="S35" s="838"/>
      <c r="T35" s="917"/>
      <c r="U35" s="918"/>
      <c r="V35" s="917"/>
      <c r="W35" s="706"/>
      <c r="X35" s="917"/>
      <c r="Y35" s="917"/>
      <c r="Z35" s="917"/>
      <c r="AA35" s="706"/>
      <c r="AB35" s="839"/>
      <c r="AC35" s="917"/>
      <c r="AD35" s="706"/>
      <c r="AE35" s="706"/>
      <c r="AF35" s="843"/>
      <c r="AG35" s="917"/>
      <c r="AH35" s="917"/>
      <c r="AI35" s="917"/>
      <c r="AJ35" s="917"/>
      <c r="AK35" s="917"/>
      <c r="AL35" s="917"/>
      <c r="AM35" s="917"/>
      <c r="AN35" s="917"/>
      <c r="AO35" s="917"/>
      <c r="AP35" s="917"/>
      <c r="AQ35" s="917"/>
      <c r="AR35" s="917"/>
      <c r="AS35" s="917"/>
      <c r="AT35" s="917"/>
      <c r="AU35" s="917"/>
      <c r="AV35" s="917"/>
      <c r="AW35" s="902"/>
      <c r="AX35" s="902"/>
      <c r="AY35" s="902"/>
      <c r="AZ35" s="902"/>
      <c r="BA35" s="902"/>
      <c r="BB35" s="902"/>
      <c r="BC35" s="919"/>
      <c r="BD35" s="879"/>
      <c r="BE35" s="770"/>
    </row>
    <row r="36" spans="1:57" ht="18" customHeight="1" thickBot="1" x14ac:dyDescent="0.25">
      <c r="A36" s="1182" t="s">
        <v>180</v>
      </c>
      <c r="B36" s="1183"/>
      <c r="C36" s="1183"/>
      <c r="D36" s="848">
        <v>3271099</v>
      </c>
      <c r="E36" s="925"/>
      <c r="F36" s="920"/>
      <c r="G36" s="920"/>
      <c r="H36" s="920"/>
      <c r="I36" s="920"/>
      <c r="J36" s="920"/>
      <c r="K36" s="920"/>
      <c r="L36" s="920"/>
      <c r="M36" s="920"/>
      <c r="N36" s="920"/>
      <c r="O36" s="920"/>
      <c r="P36" s="920"/>
      <c r="Q36" s="920"/>
      <c r="R36" s="920"/>
      <c r="S36" s="920"/>
      <c r="T36" s="920"/>
      <c r="U36" s="920"/>
      <c r="V36" s="920"/>
      <c r="W36" s="920"/>
      <c r="X36" s="920"/>
      <c r="Y36" s="920"/>
      <c r="Z36" s="920"/>
      <c r="AA36" s="920"/>
      <c r="AB36" s="920"/>
      <c r="AC36" s="920"/>
      <c r="AD36" s="920"/>
      <c r="AE36" s="920"/>
      <c r="AF36" s="920"/>
      <c r="AG36" s="920"/>
      <c r="AH36" s="920"/>
      <c r="AI36" s="920"/>
      <c r="AJ36" s="736"/>
      <c r="AK36" s="736"/>
      <c r="AL36" s="736"/>
      <c r="AM36" s="736"/>
      <c r="AN36" s="736"/>
      <c r="AO36" s="736"/>
      <c r="AP36" s="736"/>
      <c r="AQ36" s="736"/>
      <c r="AR36" s="736"/>
      <c r="AS36" s="736"/>
      <c r="AT36" s="736"/>
      <c r="AU36" s="736"/>
      <c r="AV36" s="736"/>
      <c r="AW36" s="736"/>
      <c r="AX36" s="736"/>
      <c r="AY36" s="736"/>
      <c r="AZ36" s="736"/>
      <c r="BA36" s="736"/>
      <c r="BB36" s="736"/>
      <c r="BC36" s="736"/>
    </row>
    <row r="37" spans="1:57" ht="18" customHeight="1" x14ac:dyDescent="0.2">
      <c r="A37" s="1174"/>
      <c r="B37" s="1174"/>
      <c r="C37" s="1174"/>
      <c r="D37" s="1174"/>
      <c r="E37" s="1174"/>
      <c r="F37" s="1174"/>
      <c r="G37" s="1174"/>
      <c r="H37" s="1174"/>
      <c r="I37" s="1174"/>
      <c r="J37" s="1174"/>
      <c r="K37" s="1174"/>
      <c r="L37" s="1174"/>
      <c r="M37" s="1174"/>
      <c r="N37" s="1174"/>
      <c r="O37" s="1174"/>
      <c r="P37" s="1174"/>
      <c r="Q37" s="1174"/>
      <c r="R37" s="1174"/>
      <c r="S37" s="1174"/>
      <c r="T37" s="1174"/>
      <c r="U37" s="1174"/>
      <c r="V37" s="1174"/>
      <c r="W37" s="1174"/>
      <c r="X37" s="1174"/>
      <c r="Y37" s="1174"/>
      <c r="Z37" s="1174"/>
      <c r="AA37" s="1174"/>
      <c r="AB37" s="1174"/>
      <c r="AC37" s="1174"/>
      <c r="AD37" s="1174"/>
      <c r="AE37" s="1174"/>
      <c r="AF37" s="1174"/>
      <c r="AG37" s="1174"/>
      <c r="AH37" s="1174"/>
      <c r="AI37" s="1174"/>
      <c r="AJ37" s="1174"/>
    </row>
    <row r="38" spans="1:57" ht="18" customHeight="1" thickBot="1" x14ac:dyDescent="0.25">
      <c r="A38" s="709"/>
      <c r="B38" s="710"/>
      <c r="C38" s="710"/>
      <c r="D38" s="711"/>
      <c r="E38" s="581"/>
      <c r="F38" s="595"/>
      <c r="G38" s="708"/>
      <c r="H38" s="689"/>
      <c r="I38" s="595"/>
      <c r="J38" s="595"/>
      <c r="K38" s="708"/>
      <c r="L38" s="595"/>
      <c r="M38" s="689"/>
      <c r="O38" s="595"/>
      <c r="P38" s="708"/>
      <c r="Q38" s="689"/>
      <c r="R38" s="689"/>
      <c r="S38" s="595"/>
      <c r="T38" s="595"/>
      <c r="U38" s="708"/>
      <c r="V38" s="689"/>
      <c r="W38" s="595"/>
      <c r="X38" s="595"/>
      <c r="Y38" s="708"/>
      <c r="Z38" s="708"/>
      <c r="AA38" s="689"/>
      <c r="AB38" s="595"/>
      <c r="AC38" s="595"/>
      <c r="AD38" s="708"/>
      <c r="AE38" s="689"/>
      <c r="AF38" s="689"/>
      <c r="AG38" s="689"/>
      <c r="AH38" s="689"/>
      <c r="AI38" s="689"/>
      <c r="AJ38" s="689"/>
      <c r="AK38" s="689"/>
      <c r="AL38" s="689"/>
      <c r="AM38" s="689"/>
      <c r="AN38" s="689"/>
      <c r="AO38" s="689"/>
      <c r="AP38" s="689"/>
      <c r="AQ38" s="689"/>
      <c r="AR38" s="595"/>
      <c r="AS38" s="595"/>
      <c r="AT38" s="708"/>
      <c r="AU38" s="595"/>
      <c r="AV38" s="707"/>
      <c r="AW38" s="707"/>
      <c r="AX38" s="699"/>
      <c r="AY38" s="699"/>
      <c r="AZ38" s="699"/>
      <c r="BA38" s="699"/>
      <c r="BB38" s="699"/>
      <c r="BC38" s="699"/>
    </row>
    <row r="39" spans="1:57" ht="18" customHeight="1" thickBot="1" x14ac:dyDescent="0.25">
      <c r="A39" s="1123" t="s">
        <v>16</v>
      </c>
      <c r="B39" s="1124"/>
      <c r="C39" s="1124"/>
      <c r="D39" s="1125"/>
      <c r="E39" s="1184" t="s">
        <v>212</v>
      </c>
      <c r="F39" s="1185"/>
      <c r="G39" s="1185"/>
      <c r="H39" s="1185"/>
      <c r="I39" s="1185"/>
      <c r="J39" s="1185"/>
      <c r="K39" s="1185"/>
      <c r="L39" s="1185"/>
      <c r="M39" s="1185"/>
      <c r="N39" s="1185"/>
      <c r="O39" s="1185"/>
      <c r="P39" s="1185"/>
      <c r="Q39" s="1185"/>
      <c r="R39" s="1185"/>
      <c r="S39" s="1185"/>
      <c r="T39" s="1185"/>
      <c r="U39" s="1185"/>
      <c r="V39" s="1185"/>
      <c r="W39" s="1185"/>
      <c r="X39" s="1185"/>
      <c r="Y39" s="1185"/>
      <c r="Z39" s="1185"/>
      <c r="AA39" s="1185"/>
      <c r="AB39" s="1185"/>
      <c r="AC39" s="1185"/>
      <c r="AD39" s="1185"/>
      <c r="AE39" s="1185"/>
      <c r="AF39" s="1185"/>
      <c r="AG39" s="1185"/>
      <c r="AH39" s="1185"/>
      <c r="AI39" s="1185"/>
      <c r="AJ39" s="1185"/>
      <c r="AK39" s="1185"/>
      <c r="AL39" s="1185"/>
      <c r="AM39" s="1185"/>
      <c r="AN39" s="1185"/>
      <c r="AO39" s="1185"/>
      <c r="AP39" s="1185"/>
      <c r="AQ39" s="1185"/>
      <c r="AR39" s="1185"/>
      <c r="AS39" s="1185"/>
      <c r="AT39" s="1185"/>
      <c r="AU39" s="1185"/>
      <c r="AV39" s="1185"/>
      <c r="AW39" s="1185"/>
      <c r="AX39" s="1185"/>
      <c r="AY39" s="1185"/>
      <c r="AZ39" s="1185"/>
      <c r="BA39" s="1185"/>
      <c r="BB39" s="1185"/>
      <c r="BC39" s="1185"/>
      <c r="BD39" s="1185"/>
      <c r="BE39" s="1186"/>
    </row>
    <row r="40" spans="1:57" ht="18" customHeight="1" x14ac:dyDescent="0.2">
      <c r="A40" s="1077" t="s">
        <v>7</v>
      </c>
      <c r="B40" s="1113" t="s">
        <v>34</v>
      </c>
      <c r="C40" s="1113"/>
      <c r="D40" s="1212" t="s">
        <v>17</v>
      </c>
      <c r="E40" s="847" t="str">
        <f>TEXT(E41,"ddd")</f>
        <v>qui</v>
      </c>
      <c r="F40" s="847" t="str">
        <f t="shared" ref="F40" si="103">TEXT(F41,"ddd")</f>
        <v>sex</v>
      </c>
      <c r="G40" s="847" t="str">
        <f t="shared" ref="G40" si="104">TEXT(G41,"ddd")</f>
        <v>sáb</v>
      </c>
      <c r="H40" s="847" t="str">
        <f t="shared" ref="H40" si="105">TEXT(H41,"ddd")</f>
        <v>dom</v>
      </c>
      <c r="I40" s="847" t="str">
        <f t="shared" ref="I40" si="106">TEXT(I41,"ddd")</f>
        <v>seg</v>
      </c>
      <c r="J40" s="847" t="str">
        <f t="shared" ref="J40" si="107">TEXT(J41,"ddd")</f>
        <v>ter</v>
      </c>
      <c r="K40" s="847" t="str">
        <f t="shared" ref="K40" si="108">TEXT(K41,"ddd")</f>
        <v>qua</v>
      </c>
      <c r="L40" s="847" t="str">
        <f t="shared" ref="L40" si="109">TEXT(L41,"ddd")</f>
        <v>qui</v>
      </c>
      <c r="M40" s="847" t="str">
        <f t="shared" ref="M40" si="110">TEXT(M41,"ddd")</f>
        <v>sex</v>
      </c>
      <c r="N40" s="847" t="str">
        <f t="shared" ref="N40" si="111">TEXT(N41,"ddd")</f>
        <v>sáb</v>
      </c>
      <c r="O40" s="847" t="str">
        <f t="shared" ref="O40" si="112">TEXT(O41,"ddd")</f>
        <v>dom</v>
      </c>
      <c r="P40" s="847" t="str">
        <f t="shared" ref="P40" si="113">TEXT(P41,"ddd")</f>
        <v>seg</v>
      </c>
      <c r="Q40" s="847" t="str">
        <f t="shared" ref="Q40" si="114">TEXT(Q41,"ddd")</f>
        <v>ter</v>
      </c>
      <c r="R40" s="847" t="str">
        <f t="shared" ref="R40" si="115">TEXT(R41,"ddd")</f>
        <v>qua</v>
      </c>
      <c r="S40" s="847" t="str">
        <f t="shared" ref="S40" si="116">TEXT(S41,"ddd")</f>
        <v>qui</v>
      </c>
      <c r="T40" s="847" t="str">
        <f t="shared" ref="T40" si="117">TEXT(T41,"ddd")</f>
        <v>sex</v>
      </c>
      <c r="U40" s="847" t="str">
        <f t="shared" ref="U40" si="118">TEXT(U41,"ddd")</f>
        <v>sáb</v>
      </c>
      <c r="V40" s="847" t="str">
        <f t="shared" ref="V40" si="119">TEXT(V41,"ddd")</f>
        <v>dom</v>
      </c>
      <c r="W40" s="847" t="str">
        <f t="shared" ref="W40" si="120">TEXT(W41,"ddd")</f>
        <v>seg</v>
      </c>
      <c r="X40" s="847" t="str">
        <f t="shared" ref="X40" si="121">TEXT(X41,"ddd")</f>
        <v>ter</v>
      </c>
      <c r="Y40" s="847" t="str">
        <f t="shared" ref="Y40" si="122">TEXT(Y41,"ddd")</f>
        <v>qua</v>
      </c>
      <c r="Z40" s="847" t="str">
        <f t="shared" ref="Z40" si="123">TEXT(Z41,"ddd")</f>
        <v>qui</v>
      </c>
      <c r="AA40" s="847" t="str">
        <f t="shared" ref="AA40" si="124">TEXT(AA41,"ddd")</f>
        <v>sex</v>
      </c>
      <c r="AB40" s="847" t="str">
        <f t="shared" ref="AB40" si="125">TEXT(AB41,"ddd")</f>
        <v>sáb</v>
      </c>
      <c r="AC40" s="847" t="str">
        <f t="shared" ref="AC40" si="126">TEXT(AC41,"ddd")</f>
        <v>dom</v>
      </c>
      <c r="AD40" s="847" t="str">
        <f t="shared" ref="AD40" si="127">TEXT(AD41,"ddd")</f>
        <v>seg</v>
      </c>
      <c r="AE40" s="847" t="str">
        <f t="shared" ref="AE40" si="128">TEXT(AE41,"ddd")</f>
        <v>ter</v>
      </c>
      <c r="AF40" s="847" t="str">
        <f t="shared" ref="AF40" si="129">TEXT(AF41,"ddd")</f>
        <v>qua</v>
      </c>
      <c r="AG40" s="847" t="str">
        <f t="shared" ref="AG40" si="130">TEXT(AG41,"ddd")</f>
        <v>qui</v>
      </c>
      <c r="AH40" s="847" t="str">
        <f t="shared" ref="AH40" si="131">TEXT(AH41,"ddd")</f>
        <v>sex</v>
      </c>
      <c r="AI40" s="847" t="str">
        <f t="shared" ref="AI40" si="132">TEXT(AI41,"ddd")</f>
        <v>sáb</v>
      </c>
      <c r="AJ40" s="847" t="str">
        <f t="shared" ref="AJ40" si="133">TEXT(AJ41,"ddd")</f>
        <v>dom</v>
      </c>
      <c r="AK40" s="847" t="str">
        <f t="shared" ref="AK40" si="134">TEXT(AK41,"ddd")</f>
        <v>seg</v>
      </c>
      <c r="AL40" s="847" t="str">
        <f t="shared" ref="AL40" si="135">TEXT(AL41,"ddd")</f>
        <v>ter</v>
      </c>
      <c r="AM40" s="847" t="str">
        <f t="shared" ref="AM40" si="136">TEXT(AM41,"ddd")</f>
        <v>qua</v>
      </c>
      <c r="AN40" s="847" t="str">
        <f t="shared" ref="AN40" si="137">TEXT(AN41,"ddd")</f>
        <v>qui</v>
      </c>
      <c r="AO40" s="847" t="str">
        <f t="shared" ref="AO40" si="138">TEXT(AO41,"ddd")</f>
        <v>sex</v>
      </c>
      <c r="AP40" s="847" t="str">
        <f t="shared" ref="AP40" si="139">TEXT(AP41,"ddd")</f>
        <v>sáb</v>
      </c>
      <c r="AQ40" s="847" t="str">
        <f t="shared" ref="AQ40" si="140">TEXT(AQ41,"ddd")</f>
        <v>dom</v>
      </c>
      <c r="AR40" s="847" t="str">
        <f t="shared" ref="AR40" si="141">TEXT(AR41,"ddd")</f>
        <v>seg</v>
      </c>
      <c r="AS40" s="847" t="str">
        <f t="shared" ref="AS40" si="142">TEXT(AS41,"ddd")</f>
        <v>ter</v>
      </c>
      <c r="AT40" s="847" t="str">
        <f t="shared" ref="AT40" si="143">TEXT(AT41,"ddd")</f>
        <v>qua</v>
      </c>
      <c r="AU40" s="847" t="str">
        <f t="shared" ref="AU40" si="144">TEXT(AU41,"ddd")</f>
        <v>qui</v>
      </c>
      <c r="AV40" s="847" t="str">
        <f t="shared" ref="AV40" si="145">TEXT(AV41,"ddd")</f>
        <v>sex</v>
      </c>
      <c r="AW40" s="847" t="str">
        <f t="shared" ref="AW40" si="146">TEXT(AW41,"ddd")</f>
        <v>sáb</v>
      </c>
      <c r="AX40" s="847" t="str">
        <f t="shared" ref="AX40" si="147">TEXT(AX41,"ddd")</f>
        <v>dom</v>
      </c>
      <c r="AY40" s="847" t="str">
        <f t="shared" ref="AY40" si="148">TEXT(AY41,"ddd")</f>
        <v>seg</v>
      </c>
      <c r="AZ40" s="847" t="str">
        <f t="shared" ref="AZ40" si="149">TEXT(AZ41,"ddd")</f>
        <v>ter</v>
      </c>
      <c r="BA40" s="847" t="str">
        <f t="shared" ref="BA40" si="150">TEXT(BA41,"ddd")</f>
        <v>qua</v>
      </c>
      <c r="BB40" s="847" t="str">
        <f t="shared" ref="BB40" si="151">TEXT(BB41,"ddd")</f>
        <v>qui</v>
      </c>
      <c r="BC40" s="847" t="str">
        <f t="shared" ref="BC40" si="152">TEXT(BC41,"ddd")</f>
        <v>qui</v>
      </c>
      <c r="BD40" s="786" t="s">
        <v>3</v>
      </c>
      <c r="BE40" s="787" t="s">
        <v>4</v>
      </c>
    </row>
    <row r="41" spans="1:57" ht="18" customHeight="1" thickBot="1" x14ac:dyDescent="0.25">
      <c r="A41" s="1270"/>
      <c r="B41" s="1272"/>
      <c r="C41" s="1272"/>
      <c r="D41" s="1213"/>
      <c r="E41" s="928">
        <f>E7</f>
        <v>45323</v>
      </c>
      <c r="F41" s="928">
        <f t="shared" ref="F41:BC41" si="153">F7</f>
        <v>45324</v>
      </c>
      <c r="G41" s="928">
        <f t="shared" si="153"/>
        <v>45325</v>
      </c>
      <c r="H41" s="928">
        <f t="shared" si="153"/>
        <v>45326</v>
      </c>
      <c r="I41" s="928">
        <f t="shared" si="153"/>
        <v>45327</v>
      </c>
      <c r="J41" s="928">
        <f t="shared" si="153"/>
        <v>45328</v>
      </c>
      <c r="K41" s="928">
        <f t="shared" si="153"/>
        <v>45329</v>
      </c>
      <c r="L41" s="928">
        <f t="shared" si="153"/>
        <v>45330</v>
      </c>
      <c r="M41" s="928">
        <f t="shared" si="153"/>
        <v>45331</v>
      </c>
      <c r="N41" s="928">
        <f t="shared" si="153"/>
        <v>45332</v>
      </c>
      <c r="O41" s="928">
        <f t="shared" si="153"/>
        <v>45333</v>
      </c>
      <c r="P41" s="928">
        <f t="shared" si="153"/>
        <v>45334</v>
      </c>
      <c r="Q41" s="928">
        <f t="shared" si="153"/>
        <v>45335</v>
      </c>
      <c r="R41" s="928">
        <f t="shared" si="153"/>
        <v>45336</v>
      </c>
      <c r="S41" s="928">
        <f t="shared" si="153"/>
        <v>45337</v>
      </c>
      <c r="T41" s="928">
        <f t="shared" si="153"/>
        <v>45338</v>
      </c>
      <c r="U41" s="928">
        <f t="shared" si="153"/>
        <v>45339</v>
      </c>
      <c r="V41" s="928">
        <f t="shared" si="153"/>
        <v>45340</v>
      </c>
      <c r="W41" s="928">
        <f t="shared" si="153"/>
        <v>45341</v>
      </c>
      <c r="X41" s="928">
        <f t="shared" si="153"/>
        <v>45342</v>
      </c>
      <c r="Y41" s="928">
        <f t="shared" si="153"/>
        <v>45343</v>
      </c>
      <c r="Z41" s="928">
        <f t="shared" si="153"/>
        <v>45344</v>
      </c>
      <c r="AA41" s="928">
        <f t="shared" si="153"/>
        <v>45345</v>
      </c>
      <c r="AB41" s="928">
        <f t="shared" si="153"/>
        <v>45346</v>
      </c>
      <c r="AC41" s="928">
        <f t="shared" si="153"/>
        <v>45347</v>
      </c>
      <c r="AD41" s="928">
        <f t="shared" si="153"/>
        <v>45348</v>
      </c>
      <c r="AE41" s="928">
        <f t="shared" si="153"/>
        <v>45349</v>
      </c>
      <c r="AF41" s="928">
        <f t="shared" si="153"/>
        <v>45350</v>
      </c>
      <c r="AG41" s="928">
        <f t="shared" si="153"/>
        <v>45351</v>
      </c>
      <c r="AH41" s="928">
        <f t="shared" si="153"/>
        <v>45352</v>
      </c>
      <c r="AI41" s="928">
        <f t="shared" si="153"/>
        <v>45353</v>
      </c>
      <c r="AJ41" s="928">
        <f t="shared" si="153"/>
        <v>45354</v>
      </c>
      <c r="AK41" s="928">
        <f t="shared" si="153"/>
        <v>45355</v>
      </c>
      <c r="AL41" s="928">
        <f t="shared" si="153"/>
        <v>45356</v>
      </c>
      <c r="AM41" s="928">
        <f t="shared" si="153"/>
        <v>45357</v>
      </c>
      <c r="AN41" s="928">
        <f t="shared" si="153"/>
        <v>45358</v>
      </c>
      <c r="AO41" s="928">
        <f t="shared" si="153"/>
        <v>45359</v>
      </c>
      <c r="AP41" s="928">
        <f t="shared" si="153"/>
        <v>45360</v>
      </c>
      <c r="AQ41" s="928">
        <f t="shared" si="153"/>
        <v>45361</v>
      </c>
      <c r="AR41" s="928">
        <f t="shared" si="153"/>
        <v>45362</v>
      </c>
      <c r="AS41" s="928">
        <f t="shared" si="153"/>
        <v>45363</v>
      </c>
      <c r="AT41" s="928">
        <f t="shared" si="153"/>
        <v>45364</v>
      </c>
      <c r="AU41" s="928">
        <f t="shared" si="153"/>
        <v>45365</v>
      </c>
      <c r="AV41" s="928">
        <f t="shared" si="153"/>
        <v>45366</v>
      </c>
      <c r="AW41" s="928">
        <f t="shared" si="153"/>
        <v>45367</v>
      </c>
      <c r="AX41" s="928">
        <f t="shared" si="153"/>
        <v>45368</v>
      </c>
      <c r="AY41" s="928">
        <f t="shared" si="153"/>
        <v>45369</v>
      </c>
      <c r="AZ41" s="928">
        <f t="shared" si="153"/>
        <v>45370</v>
      </c>
      <c r="BA41" s="928">
        <f t="shared" si="153"/>
        <v>45371</v>
      </c>
      <c r="BB41" s="928">
        <f t="shared" si="153"/>
        <v>45372</v>
      </c>
      <c r="BC41" s="928">
        <f t="shared" si="153"/>
        <v>45351</v>
      </c>
      <c r="BD41" s="788">
        <v>30</v>
      </c>
      <c r="BE41" s="789">
        <v>31</v>
      </c>
    </row>
    <row r="42" spans="1:57" ht="18" customHeight="1" thickBot="1" x14ac:dyDescent="0.25">
      <c r="A42" s="749" t="s">
        <v>166</v>
      </c>
      <c r="B42" s="1085" t="s">
        <v>96</v>
      </c>
      <c r="C42" s="1271"/>
      <c r="D42" s="663">
        <v>2984946</v>
      </c>
      <c r="E42" s="899"/>
      <c r="F42" s="900"/>
      <c r="G42" s="774"/>
      <c r="H42" s="774"/>
      <c r="I42" s="836"/>
      <c r="J42" s="836"/>
      <c r="K42" s="836"/>
      <c r="L42" s="836"/>
      <c r="M42" s="774"/>
      <c r="N42" s="774"/>
      <c r="O42" s="836"/>
      <c r="P42" s="836"/>
      <c r="Q42" s="836"/>
      <c r="R42" s="836"/>
      <c r="S42" s="774"/>
      <c r="T42" s="774"/>
      <c r="U42" s="743"/>
      <c r="V42" s="734"/>
      <c r="W42" s="734"/>
      <c r="X42" s="734"/>
      <c r="Y42" s="755"/>
      <c r="Z42" s="765"/>
      <c r="AA42" s="734"/>
      <c r="AB42" s="734"/>
      <c r="AC42" s="734"/>
      <c r="AD42" s="734"/>
      <c r="AE42" s="765"/>
      <c r="AF42" s="765"/>
      <c r="AG42" s="734"/>
      <c r="AH42" s="734"/>
      <c r="AI42" s="734"/>
      <c r="AJ42" s="734"/>
      <c r="AK42" s="734"/>
      <c r="AL42" s="734"/>
      <c r="AM42" s="734"/>
      <c r="AN42" s="734"/>
      <c r="AO42" s="734"/>
      <c r="AP42" s="734"/>
      <c r="AQ42" s="734"/>
      <c r="AR42" s="734"/>
      <c r="AS42" s="734"/>
      <c r="AT42" s="734"/>
      <c r="AU42" s="734"/>
      <c r="AV42" s="734"/>
      <c r="AW42" s="734"/>
      <c r="AX42" s="734"/>
      <c r="AY42" s="734"/>
      <c r="AZ42" s="734"/>
      <c r="BA42" s="734"/>
      <c r="BB42" s="734"/>
      <c r="BC42" s="856"/>
      <c r="BD42" s="795"/>
      <c r="BE42" s="796"/>
    </row>
    <row r="43" spans="1:57" ht="18" customHeight="1" thickBot="1" x14ac:dyDescent="0.25">
      <c r="A43" s="736" t="s">
        <v>140</v>
      </c>
      <c r="B43" s="1215" t="s">
        <v>96</v>
      </c>
      <c r="C43" s="1216"/>
      <c r="D43" s="897">
        <v>2981823</v>
      </c>
      <c r="E43" s="1187"/>
      <c r="F43" s="1188"/>
      <c r="G43" s="1188"/>
      <c r="H43" s="1188"/>
      <c r="I43" s="1188"/>
      <c r="J43" s="1188"/>
      <c r="K43" s="1188"/>
      <c r="L43" s="1188"/>
      <c r="M43" s="1188"/>
      <c r="N43" s="1188"/>
      <c r="O43" s="1188"/>
      <c r="P43" s="1188"/>
      <c r="Q43" s="1188"/>
      <c r="R43" s="1188"/>
      <c r="S43" s="1188"/>
      <c r="T43" s="1189"/>
      <c r="U43" s="898"/>
      <c r="V43" s="842"/>
      <c r="W43" s="842"/>
      <c r="X43" s="842"/>
      <c r="Y43" s="826"/>
      <c r="Z43" s="761"/>
      <c r="AA43" s="842"/>
      <c r="AB43" s="842"/>
      <c r="AC43" s="842"/>
      <c r="AD43" s="842"/>
      <c r="AE43" s="761"/>
      <c r="AF43" s="761"/>
      <c r="AG43" s="842"/>
      <c r="AH43" s="842"/>
      <c r="AI43" s="842"/>
      <c r="AJ43" s="842"/>
      <c r="AK43" s="842"/>
      <c r="AL43" s="842"/>
      <c r="AM43" s="842"/>
      <c r="AN43" s="842"/>
      <c r="AO43" s="842"/>
      <c r="AP43" s="842"/>
      <c r="AQ43" s="842"/>
      <c r="AR43" s="842"/>
      <c r="AS43" s="842"/>
      <c r="AT43" s="842"/>
      <c r="AU43" s="842"/>
      <c r="AV43" s="842"/>
      <c r="AW43" s="842"/>
      <c r="AX43" s="842"/>
      <c r="AY43" s="842"/>
      <c r="AZ43" s="842"/>
      <c r="BA43" s="842"/>
      <c r="BB43" s="842"/>
      <c r="BC43" s="896"/>
      <c r="BD43" s="795"/>
      <c r="BE43" s="796"/>
    </row>
    <row r="44" spans="1:57" ht="18" customHeight="1" x14ac:dyDescent="0.2">
      <c r="A44" s="717" t="s">
        <v>74</v>
      </c>
      <c r="B44" s="1050" t="s">
        <v>96</v>
      </c>
      <c r="C44" s="1214"/>
      <c r="D44" s="817">
        <v>3270874</v>
      </c>
      <c r="E44" s="895"/>
      <c r="F44" s="842"/>
      <c r="G44" s="761"/>
      <c r="H44" s="761"/>
      <c r="I44" s="842"/>
      <c r="J44" s="842"/>
      <c r="K44" s="842"/>
      <c r="L44" s="842"/>
      <c r="M44" s="761"/>
      <c r="N44" s="761"/>
      <c r="O44" s="842"/>
      <c r="P44" s="842"/>
      <c r="Q44" s="842"/>
      <c r="R44" s="842"/>
      <c r="S44" s="761"/>
      <c r="T44" s="761"/>
      <c r="U44" s="733"/>
      <c r="V44" s="796"/>
      <c r="W44" s="796"/>
      <c r="X44" s="796"/>
      <c r="Y44" s="750"/>
      <c r="Z44" s="751"/>
      <c r="AA44" s="796"/>
      <c r="AB44" s="796"/>
      <c r="AC44" s="796"/>
      <c r="AD44" s="837"/>
      <c r="AE44" s="751"/>
      <c r="AF44" s="751"/>
      <c r="AG44" s="796"/>
      <c r="AH44" s="796"/>
      <c r="AI44" s="796"/>
      <c r="AJ44" s="796"/>
      <c r="AK44" s="796"/>
      <c r="AL44" s="796"/>
      <c r="AM44" s="796"/>
      <c r="AN44" s="796"/>
      <c r="AO44" s="796"/>
      <c r="AP44" s="796"/>
      <c r="AQ44" s="796"/>
      <c r="AR44" s="796"/>
      <c r="AS44" s="796"/>
      <c r="AT44" s="796"/>
      <c r="AU44" s="796"/>
      <c r="AV44" s="796"/>
      <c r="AW44" s="796"/>
      <c r="AX44" s="796"/>
      <c r="AY44" s="796"/>
      <c r="AZ44" s="796"/>
      <c r="BA44" s="796"/>
      <c r="BB44" s="796"/>
      <c r="BC44" s="798"/>
      <c r="BD44" s="795"/>
      <c r="BE44" s="796"/>
    </row>
    <row r="45" spans="1:57" ht="18" customHeight="1" thickBot="1" x14ac:dyDescent="0.25">
      <c r="A45" s="780" t="s">
        <v>170</v>
      </c>
      <c r="B45" s="1215" t="s">
        <v>96</v>
      </c>
      <c r="C45" s="1216"/>
      <c r="D45" s="762">
        <v>3270181</v>
      </c>
      <c r="E45" s="800"/>
      <c r="F45" s="796"/>
      <c r="G45" s="752"/>
      <c r="H45" s="751"/>
      <c r="I45" s="796"/>
      <c r="J45" s="796"/>
      <c r="K45" s="796"/>
      <c r="L45" s="796"/>
      <c r="M45" s="751"/>
      <c r="N45" s="751"/>
      <c r="O45" s="796"/>
      <c r="P45" s="796"/>
      <c r="Q45" s="796"/>
      <c r="R45" s="796"/>
      <c r="S45" s="764"/>
      <c r="T45" s="764"/>
      <c r="U45" s="838"/>
      <c r="V45" s="838"/>
      <c r="W45" s="838"/>
      <c r="X45" s="838"/>
      <c r="Y45" s="764"/>
      <c r="Z45" s="764"/>
      <c r="AA45" s="838"/>
      <c r="AB45" s="838"/>
      <c r="AC45" s="838"/>
      <c r="AD45" s="838"/>
      <c r="AE45" s="764"/>
      <c r="AF45" s="764"/>
      <c r="AG45" s="838"/>
      <c r="AH45" s="838"/>
      <c r="AI45" s="838"/>
      <c r="AJ45" s="838"/>
      <c r="AK45" s="838"/>
      <c r="AL45" s="838"/>
      <c r="AM45" s="838"/>
      <c r="AN45" s="838"/>
      <c r="AO45" s="838"/>
      <c r="AP45" s="838"/>
      <c r="AQ45" s="838"/>
      <c r="AR45" s="838"/>
      <c r="AS45" s="838"/>
      <c r="AT45" s="838"/>
      <c r="AU45" s="838"/>
      <c r="AV45" s="838"/>
      <c r="AW45" s="838"/>
      <c r="AX45" s="838"/>
      <c r="AY45" s="838"/>
      <c r="AZ45" s="838"/>
      <c r="BA45" s="838"/>
      <c r="BB45" s="838"/>
      <c r="BC45" s="889"/>
      <c r="BD45" s="795"/>
      <c r="BE45" s="796"/>
    </row>
    <row r="46" spans="1:57" ht="18" customHeight="1" thickBot="1" x14ac:dyDescent="0.25">
      <c r="A46" s="725" t="s">
        <v>179</v>
      </c>
      <c r="B46" s="1211" t="s">
        <v>96</v>
      </c>
      <c r="C46" s="1211"/>
      <c r="D46" s="792">
        <v>3055108</v>
      </c>
      <c r="E46" s="809"/>
      <c r="F46" s="844"/>
      <c r="G46" s="753"/>
      <c r="H46" s="750"/>
      <c r="I46" s="840"/>
      <c r="J46" s="733"/>
      <c r="K46" s="733"/>
      <c r="L46" s="796"/>
      <c r="M46" s="751"/>
      <c r="N46" s="754"/>
      <c r="O46" s="733"/>
      <c r="P46" s="837"/>
      <c r="Q46" s="733"/>
      <c r="R46" s="705"/>
      <c r="S46" s="1217"/>
      <c r="T46" s="1218"/>
      <c r="U46" s="1218"/>
      <c r="V46" s="1218"/>
      <c r="W46" s="1218"/>
      <c r="X46" s="1218"/>
      <c r="Y46" s="1218"/>
      <c r="Z46" s="1218"/>
      <c r="AA46" s="1218"/>
      <c r="AB46" s="1218"/>
      <c r="AC46" s="1218"/>
      <c r="AD46" s="1218"/>
      <c r="AE46" s="1218"/>
      <c r="AF46" s="1218"/>
      <c r="AG46" s="1218"/>
      <c r="AH46" s="1218"/>
      <c r="AI46" s="1218"/>
      <c r="AJ46" s="1218"/>
      <c r="AK46" s="1218"/>
      <c r="AL46" s="1218"/>
      <c r="AM46" s="1218"/>
      <c r="AN46" s="1218"/>
      <c r="AO46" s="1218"/>
      <c r="AP46" s="1218"/>
      <c r="AQ46" s="1218"/>
      <c r="AR46" s="1218"/>
      <c r="AS46" s="1218"/>
      <c r="AT46" s="1218"/>
      <c r="AU46" s="1218"/>
      <c r="AV46" s="1218"/>
      <c r="AW46" s="1218"/>
      <c r="AX46" s="1218"/>
      <c r="AY46" s="1218"/>
      <c r="AZ46" s="1218"/>
      <c r="BA46" s="1218"/>
      <c r="BB46" s="1218"/>
      <c r="BC46" s="1219"/>
      <c r="BD46" s="867"/>
      <c r="BE46" s="736"/>
    </row>
    <row r="47" spans="1:57" ht="18" customHeight="1" thickBot="1" x14ac:dyDescent="0.25">
      <c r="A47" s="785" t="s">
        <v>145</v>
      </c>
      <c r="B47" s="1208" t="s">
        <v>32</v>
      </c>
      <c r="C47" s="1208"/>
      <c r="D47" s="818">
        <v>2777665</v>
      </c>
      <c r="E47" s="781"/>
      <c r="F47" s="846"/>
      <c r="G47" s="759"/>
      <c r="H47" s="782"/>
      <c r="I47" s="735"/>
      <c r="J47" s="735"/>
      <c r="K47" s="735"/>
      <c r="L47" s="846"/>
      <c r="M47" s="857"/>
      <c r="N47" s="857"/>
      <c r="O47" s="735"/>
      <c r="P47" s="740"/>
      <c r="Q47" s="735"/>
      <c r="R47" s="735"/>
      <c r="S47" s="890"/>
      <c r="T47" s="890"/>
      <c r="U47" s="891"/>
      <c r="V47" s="891"/>
      <c r="W47" s="891"/>
      <c r="X47" s="891"/>
      <c r="Y47" s="892"/>
      <c r="Z47" s="893"/>
      <c r="AA47" s="891"/>
      <c r="AB47" s="891"/>
      <c r="AC47" s="891"/>
      <c r="AD47" s="891"/>
      <c r="AE47" s="892"/>
      <c r="AF47" s="892"/>
      <c r="AG47" s="891"/>
      <c r="AH47" s="891"/>
      <c r="AI47" s="891"/>
      <c r="AJ47" s="891"/>
      <c r="AK47" s="891"/>
      <c r="AL47" s="891"/>
      <c r="AM47" s="891"/>
      <c r="AN47" s="891"/>
      <c r="AO47" s="891"/>
      <c r="AP47" s="891"/>
      <c r="AQ47" s="891"/>
      <c r="AR47" s="891"/>
      <c r="AS47" s="891"/>
      <c r="AT47" s="891"/>
      <c r="AU47" s="891"/>
      <c r="AV47" s="891"/>
      <c r="AW47" s="891"/>
      <c r="AX47" s="891"/>
      <c r="AY47" s="891"/>
      <c r="AZ47" s="891"/>
      <c r="BA47" s="891"/>
      <c r="BB47" s="891"/>
      <c r="BC47" s="894"/>
      <c r="BD47" s="845"/>
      <c r="BE47" s="837"/>
    </row>
    <row r="48" spans="1:57" ht="18" customHeight="1" thickBot="1" x14ac:dyDescent="0.25">
      <c r="A48" s="80" t="s">
        <v>37</v>
      </c>
      <c r="B48" s="71"/>
      <c r="C48" s="80"/>
      <c r="D48" s="742"/>
      <c r="E48" s="81"/>
      <c r="F48" s="81"/>
      <c r="G48" s="81"/>
      <c r="H48" s="81"/>
      <c r="I48" s="81"/>
      <c r="J48" s="81"/>
      <c r="K48" s="72"/>
      <c r="L48" s="72"/>
      <c r="M48" s="72"/>
      <c r="N48" s="72"/>
      <c r="O48" s="81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582"/>
      <c r="AH48" s="582"/>
      <c r="AI48" s="582"/>
      <c r="AM48" s="594"/>
      <c r="AN48" s="594"/>
      <c r="AO48" s="594"/>
      <c r="AP48" s="594"/>
    </row>
    <row r="49" spans="1:58" ht="18" customHeight="1" x14ac:dyDescent="0.2">
      <c r="A49" s="1238" t="s">
        <v>8</v>
      </c>
      <c r="B49" s="1118" t="s">
        <v>34</v>
      </c>
      <c r="C49" s="1118"/>
      <c r="D49" s="1204" t="s">
        <v>17</v>
      </c>
      <c r="E49" s="847" t="str">
        <f>TEXT(E50,"ddd")</f>
        <v>qui</v>
      </c>
      <c r="F49" s="847" t="str">
        <f t="shared" ref="F49" si="154">TEXT(F50,"ddd")</f>
        <v>sex</v>
      </c>
      <c r="G49" s="847" t="str">
        <f t="shared" ref="G49" si="155">TEXT(G50,"ddd")</f>
        <v>sáb</v>
      </c>
      <c r="H49" s="847" t="str">
        <f t="shared" ref="H49" si="156">TEXT(H50,"ddd")</f>
        <v>dom</v>
      </c>
      <c r="I49" s="847" t="str">
        <f t="shared" ref="I49" si="157">TEXT(I50,"ddd")</f>
        <v>seg</v>
      </c>
      <c r="J49" s="847" t="str">
        <f t="shared" ref="J49" si="158">TEXT(J50,"ddd")</f>
        <v>ter</v>
      </c>
      <c r="K49" s="847" t="str">
        <f t="shared" ref="K49" si="159">TEXT(K50,"ddd")</f>
        <v>qua</v>
      </c>
      <c r="L49" s="847" t="str">
        <f t="shared" ref="L49" si="160">TEXT(L50,"ddd")</f>
        <v>qui</v>
      </c>
      <c r="M49" s="847" t="str">
        <f t="shared" ref="M49" si="161">TEXT(M50,"ddd")</f>
        <v>sex</v>
      </c>
      <c r="N49" s="847" t="str">
        <f t="shared" ref="N49" si="162">TEXT(N50,"ddd")</f>
        <v>sáb</v>
      </c>
      <c r="O49" s="847" t="str">
        <f t="shared" ref="O49" si="163">TEXT(O50,"ddd")</f>
        <v>dom</v>
      </c>
      <c r="P49" s="847" t="str">
        <f t="shared" ref="P49" si="164">TEXT(P50,"ddd")</f>
        <v>seg</v>
      </c>
      <c r="Q49" s="847" t="str">
        <f t="shared" ref="Q49" si="165">TEXT(Q50,"ddd")</f>
        <v>ter</v>
      </c>
      <c r="R49" s="847" t="str">
        <f t="shared" ref="R49" si="166">TEXT(R50,"ddd")</f>
        <v>qua</v>
      </c>
      <c r="S49" s="847" t="str">
        <f t="shared" ref="S49" si="167">TEXT(S50,"ddd")</f>
        <v>qui</v>
      </c>
      <c r="T49" s="847" t="str">
        <f t="shared" ref="T49" si="168">TEXT(T50,"ddd")</f>
        <v>sex</v>
      </c>
      <c r="U49" s="847" t="str">
        <f t="shared" ref="U49" si="169">TEXT(U50,"ddd")</f>
        <v>sáb</v>
      </c>
      <c r="V49" s="847" t="str">
        <f t="shared" ref="V49" si="170">TEXT(V50,"ddd")</f>
        <v>dom</v>
      </c>
      <c r="W49" s="847" t="str">
        <f t="shared" ref="W49" si="171">TEXT(W50,"ddd")</f>
        <v>seg</v>
      </c>
      <c r="X49" s="847" t="str">
        <f t="shared" ref="X49" si="172">TEXT(X50,"ddd")</f>
        <v>ter</v>
      </c>
      <c r="Y49" s="847" t="str">
        <f t="shared" ref="Y49" si="173">TEXT(Y50,"ddd")</f>
        <v>qua</v>
      </c>
      <c r="Z49" s="847" t="str">
        <f t="shared" ref="Z49" si="174">TEXT(Z50,"ddd")</f>
        <v>qui</v>
      </c>
      <c r="AA49" s="847" t="str">
        <f t="shared" ref="AA49" si="175">TEXT(AA50,"ddd")</f>
        <v>sex</v>
      </c>
      <c r="AB49" s="847" t="str">
        <f t="shared" ref="AB49" si="176">TEXT(AB50,"ddd")</f>
        <v>sáb</v>
      </c>
      <c r="AC49" s="847" t="str">
        <f t="shared" ref="AC49" si="177">TEXT(AC50,"ddd")</f>
        <v>dom</v>
      </c>
      <c r="AD49" s="847" t="str">
        <f t="shared" ref="AD49" si="178">TEXT(AD50,"ddd")</f>
        <v>seg</v>
      </c>
      <c r="AE49" s="847" t="str">
        <f t="shared" ref="AE49" si="179">TEXT(AE50,"ddd")</f>
        <v>ter</v>
      </c>
      <c r="AF49" s="847" t="str">
        <f t="shared" ref="AF49" si="180">TEXT(AF50,"ddd")</f>
        <v>qua</v>
      </c>
      <c r="AG49" s="847" t="str">
        <f t="shared" ref="AG49" si="181">TEXT(AG50,"ddd")</f>
        <v>qui</v>
      </c>
      <c r="AH49" s="847" t="str">
        <f t="shared" ref="AH49" si="182">TEXT(AH50,"ddd")</f>
        <v>sex</v>
      </c>
      <c r="AI49" s="847" t="str">
        <f t="shared" ref="AI49" si="183">TEXT(AI50,"ddd")</f>
        <v>sáb</v>
      </c>
      <c r="AJ49" s="847" t="str">
        <f t="shared" ref="AJ49" si="184">TEXT(AJ50,"ddd")</f>
        <v>dom</v>
      </c>
      <c r="AK49" s="847" t="str">
        <f t="shared" ref="AK49" si="185">TEXT(AK50,"ddd")</f>
        <v>seg</v>
      </c>
      <c r="AL49" s="847" t="str">
        <f t="shared" ref="AL49" si="186">TEXT(AL50,"ddd")</f>
        <v>ter</v>
      </c>
      <c r="AM49" s="847" t="str">
        <f t="shared" ref="AM49" si="187">TEXT(AM50,"ddd")</f>
        <v>qua</v>
      </c>
      <c r="AN49" s="847" t="str">
        <f t="shared" ref="AN49" si="188">TEXT(AN50,"ddd")</f>
        <v>qui</v>
      </c>
      <c r="AO49" s="847" t="str">
        <f t="shared" ref="AO49" si="189">TEXT(AO50,"ddd")</f>
        <v>sex</v>
      </c>
      <c r="AP49" s="847" t="str">
        <f t="shared" ref="AP49" si="190">TEXT(AP50,"ddd")</f>
        <v>sáb</v>
      </c>
      <c r="AQ49" s="847" t="str">
        <f t="shared" ref="AQ49" si="191">TEXT(AQ50,"ddd")</f>
        <v>dom</v>
      </c>
      <c r="AR49" s="847" t="str">
        <f t="shared" ref="AR49" si="192">TEXT(AR50,"ddd")</f>
        <v>seg</v>
      </c>
      <c r="AS49" s="847" t="str">
        <f t="shared" ref="AS49" si="193">TEXT(AS50,"ddd")</f>
        <v>ter</v>
      </c>
      <c r="AT49" s="847" t="str">
        <f t="shared" ref="AT49" si="194">TEXT(AT50,"ddd")</f>
        <v>qua</v>
      </c>
      <c r="AU49" s="847" t="str">
        <f t="shared" ref="AU49" si="195">TEXT(AU50,"ddd")</f>
        <v>qui</v>
      </c>
      <c r="AV49" s="847" t="str">
        <f t="shared" ref="AV49" si="196">TEXT(AV50,"ddd")</f>
        <v>sex</v>
      </c>
      <c r="AW49" s="847" t="str">
        <f t="shared" ref="AW49" si="197">TEXT(AW50,"ddd")</f>
        <v>sáb</v>
      </c>
      <c r="AX49" s="847" t="str">
        <f t="shared" ref="AX49" si="198">TEXT(AX50,"ddd")</f>
        <v>dom</v>
      </c>
      <c r="AY49" s="847" t="str">
        <f t="shared" ref="AY49" si="199">TEXT(AY50,"ddd")</f>
        <v>seg</v>
      </c>
      <c r="AZ49" s="847" t="str">
        <f t="shared" ref="AZ49" si="200">TEXT(AZ50,"ddd")</f>
        <v>ter</v>
      </c>
      <c r="BA49" s="847" t="str">
        <f t="shared" ref="BA49" si="201">TEXT(BA50,"ddd")</f>
        <v>qua</v>
      </c>
      <c r="BB49" s="847" t="str">
        <f t="shared" ref="BB49" si="202">TEXT(BB50,"ddd")</f>
        <v>qui</v>
      </c>
      <c r="BC49" s="847" t="str">
        <f t="shared" ref="BC49" si="203">TEXT(BC50,"ddd")</f>
        <v>qui</v>
      </c>
      <c r="BD49" s="786" t="s">
        <v>3</v>
      </c>
      <c r="BE49" s="787" t="s">
        <v>4</v>
      </c>
    </row>
    <row r="50" spans="1:58" ht="21" customHeight="1" thickBot="1" x14ac:dyDescent="0.25">
      <c r="A50" s="1239"/>
      <c r="B50" s="1240"/>
      <c r="C50" s="1240"/>
      <c r="D50" s="1205"/>
      <c r="E50" s="927">
        <f>E7</f>
        <v>45323</v>
      </c>
      <c r="F50" s="927">
        <f t="shared" ref="F50:BC50" si="204">F7</f>
        <v>45324</v>
      </c>
      <c r="G50" s="927">
        <f t="shared" si="204"/>
        <v>45325</v>
      </c>
      <c r="H50" s="927">
        <f t="shared" si="204"/>
        <v>45326</v>
      </c>
      <c r="I50" s="927">
        <f t="shared" si="204"/>
        <v>45327</v>
      </c>
      <c r="J50" s="927">
        <f t="shared" si="204"/>
        <v>45328</v>
      </c>
      <c r="K50" s="927">
        <f t="shared" si="204"/>
        <v>45329</v>
      </c>
      <c r="L50" s="927">
        <f t="shared" si="204"/>
        <v>45330</v>
      </c>
      <c r="M50" s="927">
        <f t="shared" si="204"/>
        <v>45331</v>
      </c>
      <c r="N50" s="927">
        <f t="shared" si="204"/>
        <v>45332</v>
      </c>
      <c r="O50" s="927">
        <f t="shared" si="204"/>
        <v>45333</v>
      </c>
      <c r="P50" s="927">
        <f t="shared" si="204"/>
        <v>45334</v>
      </c>
      <c r="Q50" s="927">
        <f t="shared" si="204"/>
        <v>45335</v>
      </c>
      <c r="R50" s="927">
        <f t="shared" si="204"/>
        <v>45336</v>
      </c>
      <c r="S50" s="927">
        <f t="shared" si="204"/>
        <v>45337</v>
      </c>
      <c r="T50" s="927">
        <f t="shared" si="204"/>
        <v>45338</v>
      </c>
      <c r="U50" s="927">
        <f t="shared" si="204"/>
        <v>45339</v>
      </c>
      <c r="V50" s="927">
        <f t="shared" si="204"/>
        <v>45340</v>
      </c>
      <c r="W50" s="927">
        <f t="shared" si="204"/>
        <v>45341</v>
      </c>
      <c r="X50" s="927">
        <f t="shared" si="204"/>
        <v>45342</v>
      </c>
      <c r="Y50" s="927">
        <f t="shared" si="204"/>
        <v>45343</v>
      </c>
      <c r="Z50" s="927">
        <f t="shared" si="204"/>
        <v>45344</v>
      </c>
      <c r="AA50" s="927">
        <f t="shared" si="204"/>
        <v>45345</v>
      </c>
      <c r="AB50" s="927">
        <f t="shared" si="204"/>
        <v>45346</v>
      </c>
      <c r="AC50" s="927">
        <f t="shared" si="204"/>
        <v>45347</v>
      </c>
      <c r="AD50" s="927">
        <f t="shared" si="204"/>
        <v>45348</v>
      </c>
      <c r="AE50" s="927">
        <f t="shared" si="204"/>
        <v>45349</v>
      </c>
      <c r="AF50" s="927">
        <f t="shared" si="204"/>
        <v>45350</v>
      </c>
      <c r="AG50" s="927">
        <f t="shared" si="204"/>
        <v>45351</v>
      </c>
      <c r="AH50" s="927">
        <f t="shared" si="204"/>
        <v>45352</v>
      </c>
      <c r="AI50" s="927">
        <f t="shared" si="204"/>
        <v>45353</v>
      </c>
      <c r="AJ50" s="927">
        <f t="shared" si="204"/>
        <v>45354</v>
      </c>
      <c r="AK50" s="927">
        <f t="shared" si="204"/>
        <v>45355</v>
      </c>
      <c r="AL50" s="927">
        <f t="shared" si="204"/>
        <v>45356</v>
      </c>
      <c r="AM50" s="927">
        <f t="shared" si="204"/>
        <v>45357</v>
      </c>
      <c r="AN50" s="927">
        <f t="shared" si="204"/>
        <v>45358</v>
      </c>
      <c r="AO50" s="927">
        <f t="shared" si="204"/>
        <v>45359</v>
      </c>
      <c r="AP50" s="927">
        <f t="shared" si="204"/>
        <v>45360</v>
      </c>
      <c r="AQ50" s="927">
        <f t="shared" si="204"/>
        <v>45361</v>
      </c>
      <c r="AR50" s="927">
        <f t="shared" si="204"/>
        <v>45362</v>
      </c>
      <c r="AS50" s="927">
        <f t="shared" si="204"/>
        <v>45363</v>
      </c>
      <c r="AT50" s="927">
        <f t="shared" si="204"/>
        <v>45364</v>
      </c>
      <c r="AU50" s="927">
        <f t="shared" si="204"/>
        <v>45365</v>
      </c>
      <c r="AV50" s="927">
        <f t="shared" si="204"/>
        <v>45366</v>
      </c>
      <c r="AW50" s="927">
        <f t="shared" si="204"/>
        <v>45367</v>
      </c>
      <c r="AX50" s="927">
        <f t="shared" si="204"/>
        <v>45368</v>
      </c>
      <c r="AY50" s="927">
        <f t="shared" si="204"/>
        <v>45369</v>
      </c>
      <c r="AZ50" s="927">
        <f t="shared" si="204"/>
        <v>45370</v>
      </c>
      <c r="BA50" s="927">
        <f t="shared" si="204"/>
        <v>45371</v>
      </c>
      <c r="BB50" s="927">
        <f t="shared" si="204"/>
        <v>45372</v>
      </c>
      <c r="BC50" s="927">
        <f t="shared" si="204"/>
        <v>45351</v>
      </c>
      <c r="BD50" s="788">
        <v>30</v>
      </c>
      <c r="BE50" s="789">
        <v>31</v>
      </c>
    </row>
    <row r="51" spans="1:58" ht="18" customHeight="1" x14ac:dyDescent="0.2">
      <c r="A51" s="780" t="s">
        <v>170</v>
      </c>
      <c r="B51" s="1215" t="s">
        <v>96</v>
      </c>
      <c r="C51" s="1216"/>
      <c r="D51" s="762">
        <v>3270181</v>
      </c>
      <c r="E51" s="800"/>
      <c r="F51" s="796"/>
      <c r="G51" s="796"/>
      <c r="H51" s="796"/>
      <c r="I51" s="751"/>
      <c r="J51" s="751"/>
      <c r="K51" s="796"/>
      <c r="L51" s="796"/>
      <c r="M51" s="796"/>
      <c r="N51" s="796"/>
      <c r="O51" s="751"/>
      <c r="P51" s="751"/>
      <c r="Q51" s="796"/>
      <c r="R51" s="796"/>
      <c r="S51" s="796"/>
      <c r="T51" s="796"/>
      <c r="U51" s="750"/>
      <c r="V51" s="751"/>
      <c r="W51" s="796"/>
      <c r="X51" s="796"/>
      <c r="Y51" s="733"/>
      <c r="Z51" s="796"/>
      <c r="AA51" s="751"/>
      <c r="AB51" s="751"/>
      <c r="AC51" s="796"/>
      <c r="AD51" s="837"/>
      <c r="AE51" s="796"/>
      <c r="AF51" s="796"/>
      <c r="AG51" s="796"/>
      <c r="AH51" s="796"/>
      <c r="AI51" s="796"/>
      <c r="AJ51" s="796"/>
      <c r="AK51" s="796"/>
      <c r="AL51" s="796"/>
      <c r="AM51" s="796"/>
      <c r="AN51" s="796"/>
      <c r="AO51" s="796"/>
      <c r="AP51" s="796"/>
      <c r="AQ51" s="796"/>
      <c r="AR51" s="796"/>
      <c r="AS51" s="796"/>
      <c r="AT51" s="796"/>
      <c r="AU51" s="796"/>
      <c r="AV51" s="796"/>
      <c r="AW51" s="796"/>
      <c r="AX51" s="796"/>
      <c r="AY51" s="796"/>
      <c r="AZ51" s="796"/>
      <c r="BA51" s="796"/>
      <c r="BB51" s="796"/>
      <c r="BC51" s="766"/>
      <c r="BD51" s="795"/>
      <c r="BE51" s="796"/>
    </row>
    <row r="52" spans="1:58" ht="18" customHeight="1" x14ac:dyDescent="0.2">
      <c r="A52" s="725" t="s">
        <v>165</v>
      </c>
      <c r="B52" s="1202" t="s">
        <v>96</v>
      </c>
      <c r="C52" s="1203"/>
      <c r="D52" s="792">
        <v>3669777</v>
      </c>
      <c r="E52" s="800"/>
      <c r="F52" s="796"/>
      <c r="G52" s="837"/>
      <c r="H52" s="796"/>
      <c r="I52" s="751"/>
      <c r="J52" s="751"/>
      <c r="K52" s="796"/>
      <c r="L52" s="796"/>
      <c r="M52" s="796"/>
      <c r="N52" s="796"/>
      <c r="O52" s="751"/>
      <c r="P52" s="751"/>
      <c r="Q52" s="796"/>
      <c r="R52" s="796"/>
      <c r="S52" s="796"/>
      <c r="T52" s="796"/>
      <c r="U52" s="751"/>
      <c r="V52" s="751"/>
      <c r="W52" s="796"/>
      <c r="X52" s="796"/>
      <c r="Y52" s="796"/>
      <c r="Z52" s="796"/>
      <c r="AA52" s="751"/>
      <c r="AB52" s="751"/>
      <c r="AC52" s="796"/>
      <c r="AD52" s="796"/>
      <c r="AE52" s="796"/>
      <c r="AF52" s="796"/>
      <c r="AG52" s="796"/>
      <c r="AH52" s="796"/>
      <c r="AI52" s="796"/>
      <c r="AJ52" s="796"/>
      <c r="AK52" s="796"/>
      <c r="AL52" s="796"/>
      <c r="AM52" s="796"/>
      <c r="AN52" s="796"/>
      <c r="AO52" s="796"/>
      <c r="AP52" s="796"/>
      <c r="AQ52" s="796"/>
      <c r="AR52" s="796"/>
      <c r="AS52" s="796"/>
      <c r="AT52" s="796"/>
      <c r="AU52" s="796"/>
      <c r="AV52" s="796"/>
      <c r="AW52" s="796"/>
      <c r="AX52" s="796"/>
      <c r="AY52" s="796"/>
      <c r="AZ52" s="796"/>
      <c r="BA52" s="796"/>
      <c r="BB52" s="796"/>
      <c r="BC52" s="766"/>
      <c r="BD52" s="795"/>
      <c r="BE52" s="796"/>
    </row>
    <row r="53" spans="1:58" ht="18" customHeight="1" x14ac:dyDescent="0.2">
      <c r="A53" s="780" t="s">
        <v>148</v>
      </c>
      <c r="B53" s="1248" t="s">
        <v>96</v>
      </c>
      <c r="C53" s="1248"/>
      <c r="D53" s="818">
        <v>3269515</v>
      </c>
      <c r="E53" s="809"/>
      <c r="F53" s="844"/>
      <c r="G53" s="844"/>
      <c r="H53" s="733"/>
      <c r="I53" s="756"/>
      <c r="J53" s="750"/>
      <c r="K53" s="733"/>
      <c r="L53" s="796"/>
      <c r="M53" s="796"/>
      <c r="N53" s="797"/>
      <c r="O53" s="750"/>
      <c r="P53" s="752"/>
      <c r="Q53" s="733"/>
      <c r="R53" s="733"/>
      <c r="S53" s="797"/>
      <c r="T53" s="797"/>
      <c r="U53" s="754"/>
      <c r="V53" s="754"/>
      <c r="W53" s="733"/>
      <c r="X53" s="797"/>
      <c r="Y53" s="733"/>
      <c r="Z53" s="797"/>
      <c r="AA53" s="750"/>
      <c r="AB53" s="754"/>
      <c r="AC53" s="733"/>
      <c r="AD53" s="797"/>
      <c r="AE53" s="797"/>
      <c r="AF53" s="733"/>
      <c r="AG53" s="733"/>
      <c r="AH53" s="733"/>
      <c r="AI53" s="733"/>
      <c r="AJ53" s="733"/>
      <c r="AK53" s="733"/>
      <c r="AL53" s="733"/>
      <c r="AM53" s="797"/>
      <c r="AN53" s="851"/>
      <c r="AO53" s="736"/>
      <c r="AP53" s="851"/>
      <c r="AQ53" s="852"/>
      <c r="AR53" s="797"/>
      <c r="AS53" s="733"/>
      <c r="AT53" s="852"/>
      <c r="AU53" s="852"/>
      <c r="AV53" s="852"/>
      <c r="AW53" s="736"/>
      <c r="AX53" s="736"/>
      <c r="AY53" s="736"/>
      <c r="AZ53" s="797"/>
      <c r="BA53" s="797"/>
      <c r="BB53" s="797"/>
      <c r="BC53" s="883"/>
      <c r="BD53" s="867"/>
      <c r="BE53" s="736"/>
    </row>
    <row r="54" spans="1:58" ht="24" customHeight="1" thickBot="1" x14ac:dyDescent="0.25">
      <c r="A54" s="785" t="s">
        <v>145</v>
      </c>
      <c r="B54" s="1209" t="s">
        <v>32</v>
      </c>
      <c r="C54" s="1210"/>
      <c r="D54" s="818">
        <v>2777665</v>
      </c>
      <c r="E54" s="781"/>
      <c r="F54" s="846"/>
      <c r="G54" s="846"/>
      <c r="H54" s="747"/>
      <c r="I54" s="857"/>
      <c r="J54" s="857"/>
      <c r="K54" s="735"/>
      <c r="L54" s="846"/>
      <c r="M54" s="735"/>
      <c r="N54" s="735"/>
      <c r="O54" s="857"/>
      <c r="P54" s="882"/>
      <c r="Q54" s="735"/>
      <c r="R54" s="735"/>
      <c r="S54" s="846"/>
      <c r="T54" s="846"/>
      <c r="U54" s="767"/>
      <c r="V54" s="767"/>
      <c r="W54" s="769"/>
      <c r="X54" s="769"/>
      <c r="Y54" s="769"/>
      <c r="Z54" s="735"/>
      <c r="AA54" s="767"/>
      <c r="AB54" s="767"/>
      <c r="AC54" s="769"/>
      <c r="AD54" s="769"/>
      <c r="AE54" s="769"/>
      <c r="AF54" s="769"/>
      <c r="AG54" s="769"/>
      <c r="AH54" s="769"/>
      <c r="AI54" s="769"/>
      <c r="AJ54" s="769"/>
      <c r="AK54" s="769"/>
      <c r="AL54" s="769"/>
      <c r="AM54" s="769"/>
      <c r="AN54" s="769"/>
      <c r="AO54" s="769"/>
      <c r="AP54" s="769"/>
      <c r="AQ54" s="769"/>
      <c r="AR54" s="769"/>
      <c r="AS54" s="769"/>
      <c r="AT54" s="769"/>
      <c r="AU54" s="769"/>
      <c r="AV54" s="769"/>
      <c r="AW54" s="769"/>
      <c r="AX54" s="769"/>
      <c r="AY54" s="769"/>
      <c r="AZ54" s="769"/>
      <c r="BA54" s="769"/>
      <c r="BB54" s="769"/>
      <c r="BC54" s="884"/>
      <c r="BD54" s="845"/>
      <c r="BE54" s="837"/>
    </row>
    <row r="55" spans="1:58" ht="13.5" customHeight="1" thickBot="1" x14ac:dyDescent="0.25">
      <c r="A55" s="712"/>
      <c r="B55" s="71"/>
      <c r="C55" s="71"/>
      <c r="D55" s="742"/>
      <c r="E55" s="81"/>
      <c r="F55" s="81"/>
      <c r="G55" s="81"/>
      <c r="H55" s="81"/>
      <c r="I55" s="81"/>
      <c r="J55" s="81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  <c r="AA55" s="72"/>
      <c r="AB55" s="72"/>
      <c r="AC55" s="72"/>
      <c r="AD55" s="72"/>
      <c r="AE55" s="72"/>
      <c r="AF55" s="72"/>
      <c r="AG55" s="582"/>
      <c r="AH55" s="582"/>
      <c r="AI55" s="582"/>
      <c r="AJ55" s="582"/>
      <c r="AK55" s="582"/>
      <c r="AL55" s="582"/>
      <c r="AM55" s="713"/>
      <c r="AN55" s="713"/>
      <c r="AO55" s="713"/>
      <c r="AP55" s="713"/>
      <c r="AQ55" s="582"/>
      <c r="AR55" s="582"/>
      <c r="AS55" s="582"/>
      <c r="AT55" s="582"/>
      <c r="AU55" s="582"/>
      <c r="AV55" s="582"/>
      <c r="AW55" s="582"/>
      <c r="AX55" s="582"/>
      <c r="AY55" s="582"/>
      <c r="AZ55" s="582"/>
      <c r="BA55" s="582"/>
      <c r="BB55" s="582"/>
    </row>
    <row r="56" spans="1:58" ht="19.5" customHeight="1" x14ac:dyDescent="0.2">
      <c r="A56" s="1236" t="s">
        <v>5</v>
      </c>
      <c r="B56" s="1206" t="s">
        <v>34</v>
      </c>
      <c r="C56" s="1206"/>
      <c r="D56" s="1206" t="s">
        <v>17</v>
      </c>
      <c r="E56" s="847" t="str">
        <f>TEXT(E57,"ddd")</f>
        <v>qui</v>
      </c>
      <c r="F56" s="847" t="str">
        <f t="shared" ref="F56" si="205">TEXT(F57,"ddd")</f>
        <v>sex</v>
      </c>
      <c r="G56" s="847" t="str">
        <f t="shared" ref="G56" si="206">TEXT(G57,"ddd")</f>
        <v>sáb</v>
      </c>
      <c r="H56" s="847" t="str">
        <f t="shared" ref="H56" si="207">TEXT(H57,"ddd")</f>
        <v>dom</v>
      </c>
      <c r="I56" s="847" t="str">
        <f t="shared" ref="I56" si="208">TEXT(I57,"ddd")</f>
        <v>seg</v>
      </c>
      <c r="J56" s="847" t="str">
        <f t="shared" ref="J56" si="209">TEXT(J57,"ddd")</f>
        <v>ter</v>
      </c>
      <c r="K56" s="847" t="str">
        <f t="shared" ref="K56" si="210">TEXT(K57,"ddd")</f>
        <v>qua</v>
      </c>
      <c r="L56" s="847" t="str">
        <f t="shared" ref="L56" si="211">TEXT(L57,"ddd")</f>
        <v>qui</v>
      </c>
      <c r="M56" s="847" t="str">
        <f t="shared" ref="M56" si="212">TEXT(M57,"ddd")</f>
        <v>sex</v>
      </c>
      <c r="N56" s="847" t="str">
        <f t="shared" ref="N56" si="213">TEXT(N57,"ddd")</f>
        <v>sáb</v>
      </c>
      <c r="O56" s="847" t="str">
        <f t="shared" ref="O56" si="214">TEXT(O57,"ddd")</f>
        <v>dom</v>
      </c>
      <c r="P56" s="847" t="str">
        <f t="shared" ref="P56" si="215">TEXT(P57,"ddd")</f>
        <v>seg</v>
      </c>
      <c r="Q56" s="847" t="str">
        <f t="shared" ref="Q56" si="216">TEXT(Q57,"ddd")</f>
        <v>ter</v>
      </c>
      <c r="R56" s="847" t="str">
        <f t="shared" ref="R56" si="217">TEXT(R57,"ddd")</f>
        <v>qua</v>
      </c>
      <c r="S56" s="847" t="str">
        <f t="shared" ref="S56" si="218">TEXT(S57,"ddd")</f>
        <v>qui</v>
      </c>
      <c r="T56" s="847" t="str">
        <f t="shared" ref="T56" si="219">TEXT(T57,"ddd")</f>
        <v>sex</v>
      </c>
      <c r="U56" s="847" t="str">
        <f t="shared" ref="U56" si="220">TEXT(U57,"ddd")</f>
        <v>sáb</v>
      </c>
      <c r="V56" s="847" t="str">
        <f t="shared" ref="V56" si="221">TEXT(V57,"ddd")</f>
        <v>dom</v>
      </c>
      <c r="W56" s="847" t="str">
        <f t="shared" ref="W56" si="222">TEXT(W57,"ddd")</f>
        <v>seg</v>
      </c>
      <c r="X56" s="847" t="str">
        <f t="shared" ref="X56" si="223">TEXT(X57,"ddd")</f>
        <v>ter</v>
      </c>
      <c r="Y56" s="847" t="str">
        <f t="shared" ref="Y56" si="224">TEXT(Y57,"ddd")</f>
        <v>qua</v>
      </c>
      <c r="Z56" s="847" t="str">
        <f t="shared" ref="Z56" si="225">TEXT(Z57,"ddd")</f>
        <v>qui</v>
      </c>
      <c r="AA56" s="847" t="str">
        <f t="shared" ref="AA56" si="226">TEXT(AA57,"ddd")</f>
        <v>sex</v>
      </c>
      <c r="AB56" s="847" t="str">
        <f t="shared" ref="AB56" si="227">TEXT(AB57,"ddd")</f>
        <v>sáb</v>
      </c>
      <c r="AC56" s="847" t="str">
        <f t="shared" ref="AC56" si="228">TEXT(AC57,"ddd")</f>
        <v>dom</v>
      </c>
      <c r="AD56" s="847" t="str">
        <f t="shared" ref="AD56" si="229">TEXT(AD57,"ddd")</f>
        <v>seg</v>
      </c>
      <c r="AE56" s="847" t="str">
        <f t="shared" ref="AE56" si="230">TEXT(AE57,"ddd")</f>
        <v>ter</v>
      </c>
      <c r="AF56" s="847" t="str">
        <f t="shared" ref="AF56" si="231">TEXT(AF57,"ddd")</f>
        <v>qua</v>
      </c>
      <c r="AG56" s="847" t="str">
        <f t="shared" ref="AG56" si="232">TEXT(AG57,"ddd")</f>
        <v>qui</v>
      </c>
      <c r="AH56" s="847" t="str">
        <f t="shared" ref="AH56" si="233">TEXT(AH57,"ddd")</f>
        <v>sex</v>
      </c>
      <c r="AI56" s="847" t="str">
        <f t="shared" ref="AI56" si="234">TEXT(AI57,"ddd")</f>
        <v>sáb</v>
      </c>
      <c r="AJ56" s="847" t="str">
        <f t="shared" ref="AJ56" si="235">TEXT(AJ57,"ddd")</f>
        <v>dom</v>
      </c>
      <c r="AK56" s="847" t="str">
        <f t="shared" ref="AK56" si="236">TEXT(AK57,"ddd")</f>
        <v>seg</v>
      </c>
      <c r="AL56" s="847" t="str">
        <f t="shared" ref="AL56" si="237">TEXT(AL57,"ddd")</f>
        <v>ter</v>
      </c>
      <c r="AM56" s="847" t="str">
        <f t="shared" ref="AM56" si="238">TEXT(AM57,"ddd")</f>
        <v>qua</v>
      </c>
      <c r="AN56" s="847" t="str">
        <f t="shared" ref="AN56" si="239">TEXT(AN57,"ddd")</f>
        <v>qui</v>
      </c>
      <c r="AO56" s="847" t="str">
        <f t="shared" ref="AO56" si="240">TEXT(AO57,"ddd")</f>
        <v>sex</v>
      </c>
      <c r="AP56" s="847" t="str">
        <f t="shared" ref="AP56" si="241">TEXT(AP57,"ddd")</f>
        <v>sáb</v>
      </c>
      <c r="AQ56" s="847" t="str">
        <f t="shared" ref="AQ56" si="242">TEXT(AQ57,"ddd")</f>
        <v>dom</v>
      </c>
      <c r="AR56" s="847" t="str">
        <f t="shared" ref="AR56" si="243">TEXT(AR57,"ddd")</f>
        <v>seg</v>
      </c>
      <c r="AS56" s="847" t="str">
        <f t="shared" ref="AS56" si="244">TEXT(AS57,"ddd")</f>
        <v>ter</v>
      </c>
      <c r="AT56" s="847" t="str">
        <f t="shared" ref="AT56" si="245">TEXT(AT57,"ddd")</f>
        <v>qua</v>
      </c>
      <c r="AU56" s="847" t="str">
        <f t="shared" ref="AU56" si="246">TEXT(AU57,"ddd")</f>
        <v>qui</v>
      </c>
      <c r="AV56" s="847" t="str">
        <f t="shared" ref="AV56" si="247">TEXT(AV57,"ddd")</f>
        <v>sex</v>
      </c>
      <c r="AW56" s="847" t="str">
        <f t="shared" ref="AW56" si="248">TEXT(AW57,"ddd")</f>
        <v>sáb</v>
      </c>
      <c r="AX56" s="847" t="str">
        <f t="shared" ref="AX56" si="249">TEXT(AX57,"ddd")</f>
        <v>dom</v>
      </c>
      <c r="AY56" s="847" t="str">
        <f t="shared" ref="AY56" si="250">TEXT(AY57,"ddd")</f>
        <v>seg</v>
      </c>
      <c r="AZ56" s="847" t="str">
        <f t="shared" ref="AZ56" si="251">TEXT(AZ57,"ddd")</f>
        <v>ter</v>
      </c>
      <c r="BA56" s="847" t="str">
        <f t="shared" ref="BA56" si="252">TEXT(BA57,"ddd")</f>
        <v>qua</v>
      </c>
      <c r="BB56" s="847" t="str">
        <f t="shared" ref="BB56" si="253">TEXT(BB57,"ddd")</f>
        <v>qui</v>
      </c>
      <c r="BC56" s="847" t="str">
        <f t="shared" ref="BC56" si="254">TEXT(BC57,"ddd")</f>
        <v>qui</v>
      </c>
      <c r="BD56" s="786" t="s">
        <v>3</v>
      </c>
      <c r="BE56" s="787" t="s">
        <v>4</v>
      </c>
    </row>
    <row r="57" spans="1:58" ht="18" customHeight="1" thickBot="1" x14ac:dyDescent="0.25">
      <c r="A57" s="1237"/>
      <c r="B57" s="1207"/>
      <c r="C57" s="1207"/>
      <c r="D57" s="1207"/>
      <c r="E57" s="927">
        <f>E7</f>
        <v>45323</v>
      </c>
      <c r="F57" s="927">
        <f t="shared" ref="F57:BC57" si="255">F7</f>
        <v>45324</v>
      </c>
      <c r="G57" s="927">
        <f t="shared" si="255"/>
        <v>45325</v>
      </c>
      <c r="H57" s="927">
        <f t="shared" si="255"/>
        <v>45326</v>
      </c>
      <c r="I57" s="927">
        <f t="shared" si="255"/>
        <v>45327</v>
      </c>
      <c r="J57" s="927">
        <f t="shared" si="255"/>
        <v>45328</v>
      </c>
      <c r="K57" s="927">
        <f t="shared" si="255"/>
        <v>45329</v>
      </c>
      <c r="L57" s="927">
        <f t="shared" si="255"/>
        <v>45330</v>
      </c>
      <c r="M57" s="927">
        <f t="shared" si="255"/>
        <v>45331</v>
      </c>
      <c r="N57" s="927">
        <f t="shared" si="255"/>
        <v>45332</v>
      </c>
      <c r="O57" s="927">
        <f t="shared" si="255"/>
        <v>45333</v>
      </c>
      <c r="P57" s="927">
        <f t="shared" si="255"/>
        <v>45334</v>
      </c>
      <c r="Q57" s="927">
        <f t="shared" si="255"/>
        <v>45335</v>
      </c>
      <c r="R57" s="927">
        <f t="shared" si="255"/>
        <v>45336</v>
      </c>
      <c r="S57" s="927">
        <f t="shared" si="255"/>
        <v>45337</v>
      </c>
      <c r="T57" s="927">
        <f t="shared" si="255"/>
        <v>45338</v>
      </c>
      <c r="U57" s="927">
        <f t="shared" si="255"/>
        <v>45339</v>
      </c>
      <c r="V57" s="927">
        <f t="shared" si="255"/>
        <v>45340</v>
      </c>
      <c r="W57" s="927">
        <f t="shared" si="255"/>
        <v>45341</v>
      </c>
      <c r="X57" s="927">
        <f t="shared" si="255"/>
        <v>45342</v>
      </c>
      <c r="Y57" s="927">
        <f t="shared" si="255"/>
        <v>45343</v>
      </c>
      <c r="Z57" s="927">
        <f t="shared" si="255"/>
        <v>45344</v>
      </c>
      <c r="AA57" s="927">
        <f t="shared" si="255"/>
        <v>45345</v>
      </c>
      <c r="AB57" s="927">
        <f t="shared" si="255"/>
        <v>45346</v>
      </c>
      <c r="AC57" s="927">
        <f t="shared" si="255"/>
        <v>45347</v>
      </c>
      <c r="AD57" s="927">
        <f t="shared" si="255"/>
        <v>45348</v>
      </c>
      <c r="AE57" s="927">
        <f t="shared" si="255"/>
        <v>45349</v>
      </c>
      <c r="AF57" s="927">
        <f t="shared" si="255"/>
        <v>45350</v>
      </c>
      <c r="AG57" s="927">
        <f t="shared" si="255"/>
        <v>45351</v>
      </c>
      <c r="AH57" s="927">
        <f t="shared" si="255"/>
        <v>45352</v>
      </c>
      <c r="AI57" s="927">
        <f t="shared" si="255"/>
        <v>45353</v>
      </c>
      <c r="AJ57" s="927">
        <f t="shared" si="255"/>
        <v>45354</v>
      </c>
      <c r="AK57" s="927">
        <f t="shared" si="255"/>
        <v>45355</v>
      </c>
      <c r="AL57" s="927">
        <f t="shared" si="255"/>
        <v>45356</v>
      </c>
      <c r="AM57" s="927">
        <f t="shared" si="255"/>
        <v>45357</v>
      </c>
      <c r="AN57" s="927">
        <f t="shared" si="255"/>
        <v>45358</v>
      </c>
      <c r="AO57" s="927">
        <f t="shared" si="255"/>
        <v>45359</v>
      </c>
      <c r="AP57" s="927">
        <f t="shared" si="255"/>
        <v>45360</v>
      </c>
      <c r="AQ57" s="927">
        <f t="shared" si="255"/>
        <v>45361</v>
      </c>
      <c r="AR57" s="927">
        <f t="shared" si="255"/>
        <v>45362</v>
      </c>
      <c r="AS57" s="927">
        <f t="shared" si="255"/>
        <v>45363</v>
      </c>
      <c r="AT57" s="927">
        <f t="shared" si="255"/>
        <v>45364</v>
      </c>
      <c r="AU57" s="927">
        <f t="shared" si="255"/>
        <v>45365</v>
      </c>
      <c r="AV57" s="927">
        <f t="shared" si="255"/>
        <v>45366</v>
      </c>
      <c r="AW57" s="927">
        <f t="shared" si="255"/>
        <v>45367</v>
      </c>
      <c r="AX57" s="927">
        <f t="shared" si="255"/>
        <v>45368</v>
      </c>
      <c r="AY57" s="927">
        <f t="shared" si="255"/>
        <v>45369</v>
      </c>
      <c r="AZ57" s="927">
        <f t="shared" si="255"/>
        <v>45370</v>
      </c>
      <c r="BA57" s="927">
        <f t="shared" si="255"/>
        <v>45371</v>
      </c>
      <c r="BB57" s="927">
        <f t="shared" si="255"/>
        <v>45372</v>
      </c>
      <c r="BC57" s="927">
        <f t="shared" si="255"/>
        <v>45351</v>
      </c>
      <c r="BD57" s="788">
        <v>30</v>
      </c>
      <c r="BE57" s="789">
        <v>31</v>
      </c>
    </row>
    <row r="58" spans="1:58" ht="21" customHeight="1" thickBot="1" x14ac:dyDescent="0.25">
      <c r="A58" s="763" t="s">
        <v>171</v>
      </c>
      <c r="B58" s="1211" t="s">
        <v>96</v>
      </c>
      <c r="C58" s="1211"/>
      <c r="D58" s="762">
        <v>3036464</v>
      </c>
      <c r="E58" s="912"/>
      <c r="F58" s="774"/>
      <c r="G58" s="836"/>
      <c r="H58" s="836"/>
      <c r="I58" s="836"/>
      <c r="J58" s="836"/>
      <c r="K58" s="774"/>
      <c r="L58" s="774"/>
      <c r="M58" s="836"/>
      <c r="N58" s="900"/>
      <c r="O58" s="836"/>
      <c r="P58" s="836"/>
      <c r="Q58" s="774"/>
      <c r="R58" s="774"/>
      <c r="S58" s="836"/>
      <c r="T58" s="836"/>
      <c r="U58" s="836"/>
      <c r="V58" s="913"/>
      <c r="W58" s="775"/>
      <c r="X58" s="775"/>
      <c r="Y58" s="804"/>
      <c r="Z58" s="804"/>
      <c r="AA58" s="804"/>
      <c r="AB58" s="804"/>
      <c r="AC58" s="775"/>
      <c r="AD58" s="832"/>
      <c r="AE58" s="804"/>
      <c r="AF58" s="804"/>
      <c r="AG58" s="804"/>
      <c r="AH58" s="804"/>
      <c r="AI58" s="804"/>
      <c r="AJ58" s="804"/>
      <c r="AK58" s="804"/>
      <c r="AL58" s="804"/>
      <c r="AM58" s="804"/>
      <c r="AN58" s="804"/>
      <c r="AO58" s="804"/>
      <c r="AP58" s="804"/>
      <c r="AQ58" s="804"/>
      <c r="AR58" s="804"/>
      <c r="AS58" s="804"/>
      <c r="AT58" s="804"/>
      <c r="AU58" s="804"/>
      <c r="AV58" s="804"/>
      <c r="AW58" s="804"/>
      <c r="AX58" s="804"/>
      <c r="AY58" s="804"/>
      <c r="AZ58" s="804"/>
      <c r="BA58" s="804"/>
      <c r="BB58" s="804"/>
      <c r="BC58" s="808"/>
      <c r="BD58" s="868"/>
      <c r="BE58" s="808"/>
    </row>
    <row r="59" spans="1:58" ht="21" customHeight="1" thickBot="1" x14ac:dyDescent="0.25">
      <c r="A59" s="725" t="s">
        <v>177</v>
      </c>
      <c r="B59" s="1202" t="s">
        <v>96</v>
      </c>
      <c r="C59" s="1203"/>
      <c r="D59" s="792">
        <v>3270149</v>
      </c>
      <c r="E59" s="1187" t="s">
        <v>213</v>
      </c>
      <c r="F59" s="1188"/>
      <c r="G59" s="1188"/>
      <c r="H59" s="1188"/>
      <c r="I59" s="1188"/>
      <c r="J59" s="1188"/>
      <c r="K59" s="1188"/>
      <c r="L59" s="1188"/>
      <c r="M59" s="1188"/>
      <c r="N59" s="1188"/>
      <c r="O59" s="1188"/>
      <c r="P59" s="1188"/>
      <c r="Q59" s="1188"/>
      <c r="R59" s="1188"/>
      <c r="S59" s="1188"/>
      <c r="T59" s="1188"/>
      <c r="U59" s="1188"/>
      <c r="V59" s="1189"/>
      <c r="W59" s="911"/>
      <c r="X59" s="758"/>
      <c r="Y59" s="736"/>
      <c r="Z59" s="736"/>
      <c r="AA59" s="736"/>
      <c r="AB59" s="736"/>
      <c r="AC59" s="758"/>
      <c r="AD59" s="758"/>
      <c r="AE59" s="736"/>
      <c r="AF59" s="736"/>
      <c r="AG59" s="736"/>
      <c r="AH59" s="736"/>
      <c r="AI59" s="736"/>
      <c r="AJ59" s="736"/>
      <c r="AK59" s="736"/>
      <c r="AL59" s="736"/>
      <c r="AM59" s="736"/>
      <c r="AN59" s="736"/>
      <c r="AO59" s="736"/>
      <c r="AP59" s="736"/>
      <c r="AQ59" s="736"/>
      <c r="AR59" s="736"/>
      <c r="AS59" s="736"/>
      <c r="AT59" s="736"/>
      <c r="AU59" s="736"/>
      <c r="AV59" s="736"/>
      <c r="AW59" s="736"/>
      <c r="AX59" s="736"/>
      <c r="AY59" s="736"/>
      <c r="AZ59" s="736"/>
      <c r="BA59" s="736"/>
      <c r="BB59" s="736"/>
      <c r="BC59" s="688"/>
      <c r="BD59" s="867"/>
      <c r="BE59" s="771"/>
    </row>
    <row r="60" spans="1:58" ht="21" customHeight="1" x14ac:dyDescent="0.2">
      <c r="A60" s="784" t="s">
        <v>158</v>
      </c>
      <c r="B60" s="1248" t="s">
        <v>96</v>
      </c>
      <c r="C60" s="1248"/>
      <c r="D60" s="818">
        <v>3132170</v>
      </c>
      <c r="E60" s="914"/>
      <c r="F60" s="915"/>
      <c r="G60" s="811"/>
      <c r="H60" s="916"/>
      <c r="I60" s="841"/>
      <c r="J60" s="793"/>
      <c r="K60" s="826"/>
      <c r="L60" s="915"/>
      <c r="M60" s="793"/>
      <c r="N60" s="793"/>
      <c r="O60" s="793"/>
      <c r="P60" s="812"/>
      <c r="Q60" s="826"/>
      <c r="R60" s="826"/>
      <c r="S60" s="811"/>
      <c r="T60" s="811"/>
      <c r="U60" s="811"/>
      <c r="V60" s="811"/>
      <c r="W60" s="750"/>
      <c r="X60" s="754"/>
      <c r="Y60" s="733"/>
      <c r="Z60" s="797"/>
      <c r="AA60" s="733"/>
      <c r="AB60" s="797"/>
      <c r="AC60" s="750"/>
      <c r="AD60" s="754"/>
      <c r="AE60" s="797"/>
      <c r="AF60" s="733"/>
      <c r="AG60" s="733"/>
      <c r="AH60" s="733"/>
      <c r="AI60" s="733"/>
      <c r="AJ60" s="733"/>
      <c r="AK60" s="733"/>
      <c r="AL60" s="733"/>
      <c r="AM60" s="797"/>
      <c r="AN60" s="851"/>
      <c r="AO60" s="736"/>
      <c r="AP60" s="851"/>
      <c r="AQ60" s="852"/>
      <c r="AR60" s="797"/>
      <c r="AS60" s="733"/>
      <c r="AT60" s="852"/>
      <c r="AU60" s="852"/>
      <c r="AV60" s="852"/>
      <c r="AW60" s="736"/>
      <c r="AX60" s="736"/>
      <c r="AY60" s="736"/>
      <c r="AZ60" s="797"/>
      <c r="BA60" s="797"/>
      <c r="BB60" s="797"/>
      <c r="BC60" s="771"/>
      <c r="BD60" s="867"/>
      <c r="BE60" s="771"/>
      <c r="BF60" s="650"/>
    </row>
    <row r="61" spans="1:58" ht="21" customHeight="1" thickBot="1" x14ac:dyDescent="0.25">
      <c r="A61" s="724" t="s">
        <v>167</v>
      </c>
      <c r="B61" s="1243" t="s">
        <v>96</v>
      </c>
      <c r="C61" s="1243"/>
      <c r="D61" s="819">
        <v>4150732</v>
      </c>
      <c r="E61" s="881"/>
      <c r="F61" s="757"/>
      <c r="G61" s="760"/>
      <c r="H61" s="769"/>
      <c r="I61" s="760"/>
      <c r="J61" s="760"/>
      <c r="K61" s="757"/>
      <c r="L61" s="757"/>
      <c r="M61" s="760"/>
      <c r="N61" s="760"/>
      <c r="O61" s="760"/>
      <c r="P61" s="760"/>
      <c r="Q61" s="757"/>
      <c r="R61" s="757"/>
      <c r="S61" s="846"/>
      <c r="T61" s="846"/>
      <c r="U61" s="846"/>
      <c r="V61" s="846"/>
      <c r="W61" s="759"/>
      <c r="X61" s="759"/>
      <c r="Y61" s="846"/>
      <c r="Z61" s="846"/>
      <c r="AA61" s="846"/>
      <c r="AB61" s="846"/>
      <c r="AC61" s="759"/>
      <c r="AD61" s="759"/>
      <c r="AE61" s="846"/>
      <c r="AF61" s="846"/>
      <c r="AG61" s="846"/>
      <c r="AH61" s="846"/>
      <c r="AI61" s="846"/>
      <c r="AJ61" s="846"/>
      <c r="AK61" s="846"/>
      <c r="AL61" s="846"/>
      <c r="AM61" s="846"/>
      <c r="AN61" s="853"/>
      <c r="AO61" s="853"/>
      <c r="AP61" s="853"/>
      <c r="AQ61" s="854"/>
      <c r="AR61" s="846"/>
      <c r="AS61" s="846"/>
      <c r="AT61" s="854"/>
      <c r="AU61" s="854"/>
      <c r="AV61" s="854"/>
      <c r="AW61" s="853"/>
      <c r="AX61" s="853"/>
      <c r="AY61" s="853"/>
      <c r="AZ61" s="846"/>
      <c r="BA61" s="846"/>
      <c r="BB61" s="846"/>
      <c r="BC61" s="870"/>
      <c r="BD61" s="869"/>
      <c r="BE61" s="770"/>
    </row>
    <row r="62" spans="1:58" x14ac:dyDescent="0.2">
      <c r="A62" s="1246" t="s">
        <v>37</v>
      </c>
      <c r="B62" s="1246"/>
      <c r="C62" s="1246"/>
      <c r="D62" s="1246"/>
      <c r="E62" s="1247"/>
      <c r="F62" s="1247"/>
      <c r="G62" s="1247"/>
      <c r="H62" s="1247"/>
      <c r="I62" s="1247"/>
      <c r="J62" s="1247"/>
      <c r="K62" s="1247"/>
      <c r="L62" s="1247"/>
      <c r="M62" s="1247"/>
      <c r="N62" s="1247"/>
      <c r="O62" s="1247"/>
      <c r="P62" s="1247"/>
      <c r="Q62" s="1247"/>
      <c r="R62" s="1247"/>
      <c r="S62" s="1247"/>
      <c r="T62" s="1247"/>
      <c r="U62" s="1247"/>
      <c r="V62" s="1247"/>
      <c r="W62" s="1247"/>
      <c r="X62" s="1247"/>
      <c r="Y62" s="1247"/>
      <c r="Z62" s="1247"/>
      <c r="AA62" s="1247"/>
      <c r="AB62" s="1247"/>
      <c r="AC62" s="1247"/>
      <c r="AD62" s="1247"/>
      <c r="AE62" s="1247"/>
      <c r="AF62" s="1247"/>
      <c r="AG62" s="1247"/>
      <c r="AH62" s="1247"/>
      <c r="AI62" s="1247"/>
      <c r="AJ62" s="1247"/>
      <c r="AK62" s="1247"/>
      <c r="AL62" s="1247"/>
      <c r="AM62" s="1247"/>
      <c r="AN62" s="1247"/>
      <c r="AO62" s="1247"/>
      <c r="AP62" s="1247"/>
      <c r="AQ62" s="1247"/>
      <c r="AR62" s="582"/>
      <c r="AS62" s="582"/>
      <c r="AT62" s="582"/>
      <c r="AU62" s="582"/>
      <c r="AV62" s="582"/>
      <c r="AW62" s="582"/>
      <c r="AX62" s="582"/>
      <c r="AY62" s="582"/>
      <c r="AZ62" s="582"/>
      <c r="BA62" s="582"/>
      <c r="BB62" s="582"/>
    </row>
    <row r="63" spans="1:58" x14ac:dyDescent="0.2">
      <c r="F63" s="580"/>
      <c r="G63" s="580"/>
      <c r="H63" s="580"/>
      <c r="I63" s="580"/>
      <c r="J63" s="580"/>
      <c r="K63" s="580"/>
      <c r="L63" s="583"/>
      <c r="M63" s="72"/>
      <c r="N63" s="72"/>
      <c r="O63" s="72"/>
      <c r="P63" s="72"/>
      <c r="Q63" s="72"/>
      <c r="R63" s="72"/>
      <c r="S63" s="72"/>
      <c r="T63" s="81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72"/>
    </row>
    <row r="64" spans="1:58" ht="15" x14ac:dyDescent="0.2">
      <c r="E64" s="580"/>
      <c r="F64" s="580"/>
      <c r="G64" s="580"/>
      <c r="H64" s="580"/>
      <c r="I64" s="72"/>
      <c r="J64" s="72"/>
      <c r="K64" s="72"/>
      <c r="L64" s="1249" t="s">
        <v>198</v>
      </c>
      <c r="M64" s="1249"/>
      <c r="N64" s="1249"/>
      <c r="O64" s="1249"/>
      <c r="P64" s="1249"/>
      <c r="Q64" s="1249"/>
      <c r="R64" s="1249"/>
      <c r="S64" s="1249"/>
      <c r="T64" s="1249"/>
      <c r="U64" s="1249"/>
      <c r="V64" s="1249"/>
      <c r="W64" s="1249"/>
      <c r="X64" s="1249"/>
      <c r="Y64" s="1249"/>
      <c r="Z64" s="1249"/>
      <c r="AA64" s="1249"/>
      <c r="AB64" s="1249"/>
      <c r="AC64" s="1249"/>
      <c r="AD64" s="1249"/>
      <c r="AE64" s="72"/>
      <c r="AF64" s="72"/>
    </row>
    <row r="65" spans="1:37" x14ac:dyDescent="0.2">
      <c r="A65" s="1245" t="s">
        <v>139</v>
      </c>
      <c r="B65" s="1245"/>
      <c r="C65" s="1245"/>
      <c r="D65" s="1245"/>
      <c r="E65" s="1245"/>
      <c r="F65" s="1245"/>
      <c r="G65" s="1245"/>
      <c r="H65" s="1245"/>
      <c r="I65" s="1245"/>
      <c r="J65" s="1245"/>
      <c r="K65" s="1245"/>
      <c r="L65" s="1245"/>
      <c r="M65" s="1245"/>
      <c r="N65" s="1245"/>
      <c r="O65" s="1245"/>
      <c r="P65" s="1245"/>
      <c r="Q65" s="1245"/>
      <c r="R65" s="1245"/>
      <c r="S65" s="1245"/>
      <c r="T65" s="1245"/>
      <c r="U65" s="1245"/>
      <c r="V65" s="1245"/>
      <c r="W65" s="1245"/>
      <c r="X65" s="1245"/>
      <c r="Y65" s="1245"/>
      <c r="Z65" s="1245"/>
      <c r="AA65" s="1245"/>
      <c r="AB65" s="1245"/>
      <c r="AC65" s="1245"/>
      <c r="AD65" s="1245"/>
      <c r="AE65" s="1245"/>
      <c r="AF65" s="1245"/>
      <c r="AG65" s="1245"/>
      <c r="AH65" s="1245"/>
      <c r="AI65" s="1245"/>
      <c r="AJ65" s="1245"/>
      <c r="AK65" s="1245"/>
    </row>
    <row r="66" spans="1:37" ht="19.5" thickBot="1" x14ac:dyDescent="0.25">
      <c r="A66" s="1244" t="s">
        <v>186</v>
      </c>
      <c r="B66" s="1244"/>
      <c r="C66" s="1244"/>
      <c r="D66" s="1244"/>
      <c r="E66" s="1244"/>
      <c r="F66" s="1244"/>
      <c r="G66" s="1244"/>
      <c r="H66" s="1244"/>
      <c r="I66" s="1244"/>
      <c r="J66" s="1244"/>
      <c r="K66" s="1244"/>
      <c r="L66" s="1244"/>
      <c r="M66" s="1244"/>
      <c r="N66" s="1244"/>
      <c r="O66" s="1244"/>
      <c r="P66" s="1244"/>
      <c r="Q66" s="1244"/>
      <c r="R66" s="1244"/>
      <c r="S66" s="1244"/>
      <c r="T66" s="1244"/>
      <c r="U66" s="1244"/>
      <c r="V66" s="1244"/>
      <c r="W66" s="1244"/>
      <c r="X66" s="1244"/>
      <c r="Y66" s="1244"/>
      <c r="Z66" s="1244"/>
      <c r="AA66" s="1244"/>
      <c r="AB66" s="1244"/>
      <c r="AC66" s="1244"/>
      <c r="AD66" s="1244"/>
      <c r="AE66" s="1244"/>
      <c r="AF66" s="1244"/>
      <c r="AG66" s="1244"/>
      <c r="AH66" s="1244"/>
      <c r="AI66" s="1244"/>
      <c r="AJ66" s="1244"/>
      <c r="AK66" s="1244"/>
    </row>
    <row r="67" spans="1:37" ht="18.75" x14ac:dyDescent="0.2">
      <c r="A67" s="1174" t="s">
        <v>131</v>
      </c>
      <c r="B67" s="1174"/>
      <c r="C67" s="1174"/>
      <c r="D67" s="1174"/>
      <c r="E67" s="1174"/>
      <c r="F67" s="1174"/>
      <c r="G67" s="1174"/>
      <c r="H67" s="1174"/>
      <c r="I67" s="1174"/>
      <c r="J67" s="1174"/>
      <c r="K67" s="1174"/>
      <c r="L67" s="1174"/>
      <c r="M67" s="1174"/>
      <c r="N67" s="1174"/>
      <c r="O67" s="1174"/>
      <c r="P67" s="1174"/>
      <c r="Q67" s="1174"/>
      <c r="R67" s="1174"/>
      <c r="S67" s="1174"/>
      <c r="T67" s="1174"/>
      <c r="U67" s="1174"/>
      <c r="V67" s="1174"/>
      <c r="W67" s="1174"/>
      <c r="X67" s="1174"/>
      <c r="Y67" s="1174"/>
      <c r="Z67" s="1174"/>
      <c r="AA67" s="1174"/>
      <c r="AB67" s="1174"/>
      <c r="AC67" s="1174"/>
      <c r="AD67" s="1174"/>
      <c r="AE67" s="1174"/>
      <c r="AF67" s="1174"/>
      <c r="AG67" s="1174"/>
      <c r="AH67" s="1174"/>
      <c r="AI67" s="1174"/>
      <c r="AJ67" s="1174"/>
      <c r="AK67" s="1174"/>
    </row>
    <row r="68" spans="1:37" ht="15.75" thickBot="1" x14ac:dyDescent="0.25">
      <c r="A68" s="187"/>
      <c r="B68" s="1242"/>
      <c r="C68" s="1242"/>
      <c r="D68" s="642"/>
      <c r="E68" s="81"/>
      <c r="F68" s="81"/>
      <c r="G68" s="81"/>
      <c r="H68" s="81"/>
      <c r="I68" s="81"/>
      <c r="J68" s="81"/>
      <c r="K68" s="81"/>
      <c r="L68" s="81"/>
      <c r="M68" s="81"/>
      <c r="N68" s="81"/>
      <c r="O68" s="581"/>
      <c r="P68" s="81"/>
      <c r="Q68" s="81"/>
      <c r="R68" s="81"/>
      <c r="S68" s="81"/>
      <c r="T68" s="81"/>
      <c r="U68" s="81"/>
      <c r="V68" s="81"/>
      <c r="W68" s="81"/>
      <c r="X68" s="581"/>
      <c r="Y68" s="81"/>
      <c r="Z68" s="81"/>
      <c r="AA68" s="81"/>
      <c r="AB68" s="81"/>
      <c r="AC68" s="81"/>
      <c r="AD68" s="81"/>
      <c r="AE68" s="81"/>
      <c r="AF68" s="81"/>
    </row>
    <row r="69" spans="1:37" x14ac:dyDescent="0.2">
      <c r="B69" s="1242"/>
      <c r="C69" s="1242"/>
      <c r="H69" s="81"/>
      <c r="I69" s="81"/>
      <c r="J69" s="81"/>
      <c r="K69" s="81"/>
      <c r="L69" s="81"/>
      <c r="M69" s="81"/>
      <c r="N69" s="81"/>
      <c r="O69" s="581"/>
      <c r="P69" s="81"/>
      <c r="Q69" s="81"/>
      <c r="R69" s="81"/>
      <c r="S69" s="81"/>
      <c r="T69" s="81"/>
      <c r="U69" s="81"/>
      <c r="V69" s="81"/>
      <c r="W69" s="581"/>
      <c r="X69" s="81"/>
      <c r="Y69" s="81"/>
      <c r="Z69" s="81"/>
      <c r="AA69" s="81"/>
      <c r="AB69" s="81"/>
      <c r="AC69" s="81"/>
      <c r="AD69" s="81"/>
      <c r="AE69" s="81"/>
      <c r="AF69" s="81"/>
    </row>
    <row r="70" spans="1:37" x14ac:dyDescent="0.2">
      <c r="E70" s="582"/>
      <c r="F70" s="582"/>
      <c r="G70" s="582"/>
      <c r="H70" s="582"/>
      <c r="I70" s="582"/>
      <c r="J70" s="582"/>
      <c r="K70" s="582"/>
      <c r="L70" s="582"/>
      <c r="M70" s="582"/>
      <c r="N70" s="582"/>
      <c r="O70" s="582"/>
      <c r="P70" s="582"/>
      <c r="Q70" s="582"/>
      <c r="R70" s="582"/>
      <c r="S70" s="582"/>
      <c r="T70" s="582"/>
      <c r="U70" s="582"/>
      <c r="V70" s="582"/>
      <c r="W70" s="582"/>
      <c r="X70" s="582"/>
      <c r="Y70" s="582"/>
      <c r="Z70" s="582"/>
      <c r="AA70" s="582"/>
      <c r="AB70" s="582"/>
      <c r="AC70" s="582"/>
      <c r="AD70" s="582"/>
      <c r="AE70" s="582"/>
      <c r="AF70" s="582"/>
    </row>
    <row r="71" spans="1:37" x14ac:dyDescent="0.2">
      <c r="E71" s="582"/>
      <c r="F71" s="582"/>
      <c r="G71" s="582"/>
      <c r="H71" s="582"/>
      <c r="I71" s="582"/>
      <c r="J71" s="582"/>
      <c r="K71" s="582"/>
      <c r="L71" s="582"/>
      <c r="M71" s="582"/>
      <c r="O71" s="582"/>
      <c r="P71" s="582"/>
      <c r="Q71" s="582"/>
      <c r="R71" s="582"/>
      <c r="S71" s="582"/>
      <c r="T71" s="582"/>
      <c r="U71" s="582"/>
      <c r="V71" s="582"/>
      <c r="W71" s="582"/>
      <c r="X71" s="582"/>
      <c r="Y71" s="582"/>
      <c r="Z71" s="582"/>
      <c r="AA71" s="582"/>
      <c r="AB71" s="582"/>
      <c r="AC71" s="582"/>
      <c r="AD71" s="582"/>
      <c r="AE71" s="582"/>
      <c r="AF71" s="582"/>
    </row>
    <row r="72" spans="1:37" ht="15.75" thickBot="1" x14ac:dyDescent="0.25">
      <c r="F72" s="1241"/>
      <c r="G72" s="1241"/>
      <c r="H72" s="1241"/>
      <c r="I72" s="1241"/>
      <c r="J72" s="1241"/>
      <c r="K72" s="1241"/>
      <c r="L72" s="1241"/>
      <c r="M72" s="1241"/>
      <c r="N72" s="1241"/>
      <c r="O72" s="1241"/>
      <c r="P72" s="1241"/>
      <c r="Q72" s="1241"/>
      <c r="R72" s="1241"/>
      <c r="S72" s="1241"/>
      <c r="T72" s="1241"/>
      <c r="U72" s="1241"/>
      <c r="V72" s="1241"/>
      <c r="W72" s="1241"/>
      <c r="X72" s="1241"/>
      <c r="Y72" s="1241"/>
      <c r="Z72" s="1241"/>
    </row>
    <row r="73" spans="1:37" x14ac:dyDescent="0.2">
      <c r="A73" s="582"/>
      <c r="B73" s="582"/>
      <c r="C73" s="582"/>
      <c r="D73" s="582"/>
      <c r="E73" s="582"/>
    </row>
    <row r="74" spans="1:37" x14ac:dyDescent="0.2">
      <c r="A74" s="582"/>
      <c r="B74" s="582"/>
      <c r="C74" s="582"/>
      <c r="D74" s="582"/>
      <c r="E74" s="582"/>
    </row>
  </sheetData>
  <mergeCells count="80">
    <mergeCell ref="A40:A41"/>
    <mergeCell ref="B42:C42"/>
    <mergeCell ref="B40:C41"/>
    <mergeCell ref="A31:D31"/>
    <mergeCell ref="A33:C33"/>
    <mergeCell ref="A39:D39"/>
    <mergeCell ref="A1:AK1"/>
    <mergeCell ref="H14:J14"/>
    <mergeCell ref="H15:J15"/>
    <mergeCell ref="A22:C22"/>
    <mergeCell ref="A3:AK3"/>
    <mergeCell ref="B10:C11"/>
    <mergeCell ref="A2:AK2"/>
    <mergeCell ref="B4:AF4"/>
    <mergeCell ref="B13:C13"/>
    <mergeCell ref="A10:A11"/>
    <mergeCell ref="A5:D5"/>
    <mergeCell ref="A8:C8"/>
    <mergeCell ref="E5:BE5"/>
    <mergeCell ref="A6:C7"/>
    <mergeCell ref="B9:AO9"/>
    <mergeCell ref="D10:D11"/>
    <mergeCell ref="A56:A57"/>
    <mergeCell ref="D56:D57"/>
    <mergeCell ref="A49:A50"/>
    <mergeCell ref="B49:C50"/>
    <mergeCell ref="F72:Z72"/>
    <mergeCell ref="B69:C69"/>
    <mergeCell ref="B68:C68"/>
    <mergeCell ref="B61:C61"/>
    <mergeCell ref="A67:AK67"/>
    <mergeCell ref="A66:AK66"/>
    <mergeCell ref="A65:AK65"/>
    <mergeCell ref="A62:AQ62"/>
    <mergeCell ref="B60:C60"/>
    <mergeCell ref="L64:AD64"/>
    <mergeCell ref="B53:C53"/>
    <mergeCell ref="B58:C58"/>
    <mergeCell ref="B12:C12"/>
    <mergeCell ref="A26:C26"/>
    <mergeCell ref="A25:C25"/>
    <mergeCell ref="A24:C24"/>
    <mergeCell ref="A18:C19"/>
    <mergeCell ref="B15:C15"/>
    <mergeCell ref="A17:D17"/>
    <mergeCell ref="D18:D19"/>
    <mergeCell ref="A23:C23"/>
    <mergeCell ref="A21:C21"/>
    <mergeCell ref="A20:C20"/>
    <mergeCell ref="E39:BE39"/>
    <mergeCell ref="B59:C59"/>
    <mergeCell ref="D49:D50"/>
    <mergeCell ref="B56:C57"/>
    <mergeCell ref="B47:C47"/>
    <mergeCell ref="B52:C52"/>
    <mergeCell ref="B54:C54"/>
    <mergeCell ref="B46:C46"/>
    <mergeCell ref="D40:D41"/>
    <mergeCell ref="B44:C44"/>
    <mergeCell ref="B45:C45"/>
    <mergeCell ref="B51:C51"/>
    <mergeCell ref="E59:V59"/>
    <mergeCell ref="S46:BC46"/>
    <mergeCell ref="B43:C43"/>
    <mergeCell ref="E43:T43"/>
    <mergeCell ref="R16:AC16"/>
    <mergeCell ref="A34:C34"/>
    <mergeCell ref="A37:AJ37"/>
    <mergeCell ref="A29:C29"/>
    <mergeCell ref="E31:BE31"/>
    <mergeCell ref="A32:C32"/>
    <mergeCell ref="A35:C35"/>
    <mergeCell ref="A36:C36"/>
    <mergeCell ref="E17:BE17"/>
    <mergeCell ref="E24:Q24"/>
    <mergeCell ref="A27:C27"/>
    <mergeCell ref="A28:C28"/>
    <mergeCell ref="A30:BE30"/>
    <mergeCell ref="S27:BC27"/>
    <mergeCell ref="E28:Q28"/>
  </mergeCells>
  <printOptions horizontalCentered="1"/>
  <pageMargins left="0.51181102362204722" right="0.51181102362204722" top="0.78740157480314965" bottom="0.78740157480314965" header="0.31496062992125984" footer="0.31496062992125984"/>
  <pageSetup paperSize="9" scale="54" fitToHeight="0" orientation="landscape" verticalDpi="300" r:id="rId1"/>
  <ignoredErrors>
    <ignoredError sqref="AI36:AJ36 A7:D7 A10:D11 A18:D19 A6:D6 A9 E36:AG36" unlocked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>
    <pageSetUpPr fitToPage="1"/>
  </sheetPr>
  <dimension ref="A2:AH181"/>
  <sheetViews>
    <sheetView zoomScale="70" zoomScaleNormal="70" workbookViewId="0">
      <selection activeCell="U18" sqref="U18"/>
    </sheetView>
  </sheetViews>
  <sheetFormatPr defaultRowHeight="12.75" x14ac:dyDescent="0.2"/>
  <cols>
    <col min="1" max="1" width="12.42578125" customWidth="1"/>
    <col min="2" max="2" width="0.85546875" hidden="1" customWidth="1"/>
    <col min="3" max="3" width="12" customWidth="1"/>
    <col min="4" max="4" width="9.28515625" customWidth="1"/>
    <col min="5" max="5" width="1.5703125" customWidth="1"/>
    <col min="6" max="6" width="13.140625" hidden="1" customWidth="1"/>
    <col min="7" max="7" width="31.5703125" customWidth="1"/>
    <col min="8" max="8" width="18.7109375" hidden="1" customWidth="1"/>
    <col min="9" max="9" width="13.28515625" hidden="1" customWidth="1"/>
    <col min="10" max="11" width="0" hidden="1" customWidth="1"/>
    <col min="12" max="12" width="1.140625" customWidth="1"/>
    <col min="13" max="13" width="4.28515625" customWidth="1"/>
    <col min="14" max="14" width="37.140625" customWidth="1"/>
    <col min="15" max="15" width="34.28515625" customWidth="1"/>
    <col min="16" max="16" width="22.7109375" customWidth="1"/>
    <col min="17" max="17" width="27.42578125" bestFit="1" customWidth="1"/>
    <col min="18" max="18" width="0" hidden="1" customWidth="1"/>
    <col min="19" max="19" width="14.7109375" customWidth="1"/>
    <col min="21" max="21" width="28.28515625" customWidth="1"/>
    <col min="22" max="22" width="20.140625" customWidth="1"/>
    <col min="23" max="23" width="19" customWidth="1"/>
    <col min="24" max="24" width="17.42578125" customWidth="1"/>
    <col min="25" max="25" width="9" customWidth="1"/>
    <col min="26" max="26" width="29.28515625" customWidth="1"/>
  </cols>
  <sheetData>
    <row r="2" spans="1:34" ht="19.5" thickBot="1" x14ac:dyDescent="0.25">
      <c r="A2" s="1307"/>
      <c r="B2" s="1307"/>
      <c r="C2" s="1307"/>
      <c r="D2" s="1307"/>
      <c r="E2" s="1307"/>
      <c r="F2" s="1307"/>
      <c r="G2" s="1307"/>
      <c r="H2" s="1307"/>
      <c r="I2" s="1307"/>
      <c r="J2" s="1307"/>
      <c r="K2" s="1307"/>
      <c r="L2" s="1307"/>
      <c r="M2" s="1307"/>
      <c r="N2" s="1307"/>
      <c r="O2" s="1307"/>
      <c r="P2" s="1307"/>
      <c r="Q2" s="1307"/>
      <c r="R2" s="1307"/>
      <c r="S2" s="1307"/>
      <c r="T2" s="1307"/>
      <c r="U2" s="1307"/>
      <c r="V2" s="1307"/>
      <c r="W2" s="1307"/>
      <c r="X2" s="1307"/>
      <c r="Y2" s="1307"/>
      <c r="Z2" s="1307"/>
      <c r="AA2" s="1307"/>
      <c r="AB2" s="1307"/>
      <c r="AC2" s="1307"/>
      <c r="AD2" s="1307"/>
      <c r="AE2" s="1307"/>
      <c r="AF2" s="1307"/>
      <c r="AG2" s="1307"/>
      <c r="AH2" s="1307"/>
    </row>
    <row r="3" spans="1:34" ht="20.25" customHeight="1" thickBot="1" x14ac:dyDescent="0.25">
      <c r="A3" s="773"/>
      <c r="B3" s="773"/>
      <c r="C3" s="773"/>
      <c r="D3" s="773"/>
      <c r="E3" s="773"/>
      <c r="F3" s="772"/>
      <c r="G3" s="778"/>
      <c r="N3" s="1312" t="s">
        <v>364</v>
      </c>
      <c r="O3" s="1313"/>
      <c r="P3" s="1313"/>
      <c r="Q3" s="1314"/>
      <c r="R3" s="929"/>
      <c r="S3" s="1310"/>
      <c r="T3" s="704"/>
      <c r="U3" s="1315" t="s">
        <v>302</v>
      </c>
      <c r="V3" s="1316"/>
      <c r="W3" s="1316"/>
      <c r="X3" s="1316"/>
      <c r="Y3" s="1317"/>
      <c r="Z3" s="963"/>
      <c r="AA3" s="963"/>
      <c r="AB3" s="963"/>
    </row>
    <row r="4" spans="1:34" ht="19.5" customHeight="1" x14ac:dyDescent="0.2">
      <c r="A4" s="773"/>
      <c r="B4" s="773"/>
      <c r="C4" s="773"/>
      <c r="D4" s="773"/>
      <c r="E4" s="773"/>
      <c r="F4" s="772"/>
      <c r="G4" s="776" t="s">
        <v>178</v>
      </c>
      <c r="H4" s="1308"/>
      <c r="I4" s="1309"/>
      <c r="N4" s="1004" t="s">
        <v>33</v>
      </c>
      <c r="O4" s="1005" t="s">
        <v>129</v>
      </c>
      <c r="P4" s="1005" t="s">
        <v>136</v>
      </c>
      <c r="Q4" s="1006" t="s">
        <v>34</v>
      </c>
      <c r="R4" s="729"/>
      <c r="S4" s="1311"/>
      <c r="T4" s="704"/>
      <c r="U4" s="732" t="s">
        <v>33</v>
      </c>
      <c r="V4" s="745"/>
      <c r="W4" s="745" t="s">
        <v>129</v>
      </c>
      <c r="X4" s="745" t="s">
        <v>136</v>
      </c>
      <c r="Y4" s="961" t="s">
        <v>34</v>
      </c>
      <c r="Z4" s="963"/>
      <c r="AA4" s="963"/>
      <c r="AB4" s="963"/>
    </row>
    <row r="5" spans="1:34" ht="24" customHeight="1" x14ac:dyDescent="0.2">
      <c r="A5" s="773"/>
      <c r="B5" s="773"/>
      <c r="C5" s="773"/>
      <c r="D5" s="773"/>
      <c r="E5" s="773"/>
      <c r="F5" s="772"/>
      <c r="G5" s="776" t="s">
        <v>185</v>
      </c>
      <c r="H5" s="641"/>
      <c r="I5" s="581"/>
      <c r="J5" s="581"/>
      <c r="M5" s="676"/>
      <c r="N5" s="1007" t="s">
        <v>166</v>
      </c>
      <c r="O5" s="1008" t="s">
        <v>168</v>
      </c>
      <c r="P5" s="1273">
        <v>46143</v>
      </c>
      <c r="Q5" s="1275" t="s">
        <v>229</v>
      </c>
      <c r="R5" s="730"/>
      <c r="S5" s="721"/>
      <c r="T5" s="64"/>
      <c r="U5" s="987"/>
      <c r="V5" s="988"/>
      <c r="W5" s="989" t="s">
        <v>168</v>
      </c>
      <c r="X5" s="990">
        <v>45901</v>
      </c>
      <c r="Y5" s="991" t="s">
        <v>229</v>
      </c>
      <c r="Z5" s="963"/>
      <c r="AA5" s="963"/>
      <c r="AB5" s="963"/>
    </row>
    <row r="6" spans="1:34" ht="24" customHeight="1" x14ac:dyDescent="0.2">
      <c r="A6" s="773"/>
      <c r="B6" s="773"/>
      <c r="C6" s="773"/>
      <c r="D6" s="773"/>
      <c r="E6" s="773"/>
      <c r="F6" s="772"/>
      <c r="G6" s="776" t="s">
        <v>187</v>
      </c>
      <c r="H6" s="641"/>
      <c r="I6" s="581"/>
      <c r="M6" s="676"/>
      <c r="N6" s="1007" t="s">
        <v>368</v>
      </c>
      <c r="O6" s="1008" t="s">
        <v>289</v>
      </c>
      <c r="P6" s="1274"/>
      <c r="Q6" s="1276"/>
      <c r="R6" s="731"/>
      <c r="S6" s="721"/>
      <c r="T6" s="64"/>
      <c r="U6" s="992"/>
      <c r="V6" s="993"/>
      <c r="W6" s="994" t="s">
        <v>289</v>
      </c>
      <c r="X6" s="990">
        <v>45902</v>
      </c>
      <c r="Y6" s="995" t="s">
        <v>229</v>
      </c>
      <c r="Z6" s="963"/>
      <c r="AA6" s="963"/>
      <c r="AB6" s="963"/>
    </row>
    <row r="7" spans="1:34" ht="24" customHeight="1" x14ac:dyDescent="0.2">
      <c r="A7" s="773"/>
      <c r="B7" s="773"/>
      <c r="C7" s="773"/>
      <c r="D7" s="773"/>
      <c r="E7" s="773"/>
      <c r="F7" s="772"/>
      <c r="G7" s="776" t="s">
        <v>159</v>
      </c>
      <c r="H7" s="596"/>
      <c r="I7" s="581"/>
      <c r="M7" s="676"/>
      <c r="N7" s="1009" t="s">
        <v>196</v>
      </c>
      <c r="O7" s="1010" t="s">
        <v>351</v>
      </c>
      <c r="P7" s="1277">
        <v>46144</v>
      </c>
      <c r="Q7" s="1279" t="s">
        <v>229</v>
      </c>
      <c r="R7" s="731"/>
      <c r="S7" s="721"/>
      <c r="T7" s="64"/>
      <c r="U7" s="992"/>
      <c r="V7" s="993"/>
      <c r="W7" s="994" t="s">
        <v>289</v>
      </c>
      <c r="X7" s="990">
        <v>45904</v>
      </c>
      <c r="Y7" s="995" t="s">
        <v>229</v>
      </c>
      <c r="Z7" s="963"/>
      <c r="AA7" s="963"/>
      <c r="AB7" s="963"/>
    </row>
    <row r="8" spans="1:34" ht="24" customHeight="1" x14ac:dyDescent="0.2">
      <c r="A8" s="773"/>
      <c r="B8" s="773"/>
      <c r="C8" s="773"/>
      <c r="D8" s="773"/>
      <c r="E8" s="773"/>
      <c r="F8" s="772"/>
      <c r="G8" s="776" t="s">
        <v>155</v>
      </c>
      <c r="H8" s="596"/>
      <c r="I8" s="581"/>
      <c r="M8" s="676"/>
      <c r="N8" s="1009" t="s">
        <v>368</v>
      </c>
      <c r="O8" s="1010" t="s">
        <v>351</v>
      </c>
      <c r="P8" s="1278"/>
      <c r="Q8" s="1280"/>
      <c r="R8" s="731"/>
      <c r="S8" s="721"/>
      <c r="T8" s="64"/>
      <c r="U8" s="987"/>
      <c r="V8" s="988"/>
      <c r="W8" s="989" t="s">
        <v>168</v>
      </c>
      <c r="X8" s="990">
        <v>45905</v>
      </c>
      <c r="Y8" s="991" t="s">
        <v>229</v>
      </c>
      <c r="Z8" s="963"/>
      <c r="AA8" s="963"/>
      <c r="AB8" s="963"/>
    </row>
    <row r="9" spans="1:34" ht="24" customHeight="1" x14ac:dyDescent="0.2">
      <c r="A9" s="773"/>
      <c r="B9" s="773"/>
      <c r="C9" s="773"/>
      <c r="D9" s="773"/>
      <c r="E9" s="773"/>
      <c r="F9" s="772"/>
      <c r="G9" s="776" t="s">
        <v>172</v>
      </c>
      <c r="H9" s="596"/>
      <c r="I9" s="581"/>
      <c r="M9" s="676"/>
      <c r="N9" s="1007" t="s">
        <v>144</v>
      </c>
      <c r="O9" s="1008" t="s">
        <v>168</v>
      </c>
      <c r="P9" s="1273">
        <v>46145</v>
      </c>
      <c r="Q9" s="1275" t="s">
        <v>229</v>
      </c>
      <c r="R9" s="731"/>
      <c r="S9" s="721"/>
      <c r="T9" s="64"/>
      <c r="U9" s="992"/>
      <c r="V9" s="993"/>
      <c r="W9" s="994" t="s">
        <v>289</v>
      </c>
      <c r="X9" s="990">
        <v>45906</v>
      </c>
      <c r="Y9" s="995" t="s">
        <v>229</v>
      </c>
      <c r="Z9" s="963"/>
      <c r="AA9" s="963"/>
      <c r="AB9" s="963"/>
    </row>
    <row r="10" spans="1:34" ht="24" customHeight="1" x14ac:dyDescent="0.2">
      <c r="A10" s="773"/>
      <c r="B10" s="773"/>
      <c r="C10" s="773"/>
      <c r="D10" s="773"/>
      <c r="E10" s="773"/>
      <c r="F10" s="772"/>
      <c r="G10" s="776"/>
      <c r="H10" s="596"/>
      <c r="I10" s="581"/>
      <c r="M10" s="676"/>
      <c r="N10" s="1007" t="s">
        <v>368</v>
      </c>
      <c r="O10" s="1008" t="s">
        <v>289</v>
      </c>
      <c r="P10" s="1274"/>
      <c r="Q10" s="1276"/>
      <c r="R10" s="731"/>
      <c r="S10" s="721"/>
      <c r="T10" s="64"/>
      <c r="U10" s="987"/>
      <c r="V10" s="988"/>
      <c r="W10" s="989" t="s">
        <v>168</v>
      </c>
      <c r="X10" s="990">
        <v>45907</v>
      </c>
      <c r="Y10" s="991" t="s">
        <v>229</v>
      </c>
      <c r="Z10" s="963"/>
      <c r="AA10" s="963"/>
      <c r="AB10" s="963"/>
    </row>
    <row r="11" spans="1:34" ht="24" customHeight="1" x14ac:dyDescent="0.2">
      <c r="A11" s="773"/>
      <c r="B11" s="773"/>
      <c r="C11" s="773"/>
      <c r="D11" s="773"/>
      <c r="E11" s="773"/>
      <c r="F11" s="772"/>
      <c r="G11" s="776"/>
      <c r="H11" s="596"/>
      <c r="I11" s="581"/>
      <c r="M11" s="676"/>
      <c r="N11" s="1009" t="s">
        <v>276</v>
      </c>
      <c r="O11" s="1010" t="s">
        <v>168</v>
      </c>
      <c r="P11" s="1277">
        <v>46146</v>
      </c>
      <c r="Q11" s="1279" t="s">
        <v>229</v>
      </c>
      <c r="R11" s="731"/>
      <c r="S11" s="721"/>
      <c r="T11" s="64"/>
      <c r="U11" s="992"/>
      <c r="V11" s="993"/>
      <c r="W11" s="994" t="s">
        <v>289</v>
      </c>
      <c r="X11" s="990">
        <v>45908</v>
      </c>
      <c r="Y11" s="995" t="s">
        <v>229</v>
      </c>
      <c r="Z11" s="963"/>
      <c r="AA11" s="963"/>
      <c r="AB11" s="963"/>
    </row>
    <row r="12" spans="1:34" ht="24" customHeight="1" x14ac:dyDescent="0.2">
      <c r="A12" s="773"/>
      <c r="B12" s="773"/>
      <c r="C12" s="773"/>
      <c r="D12" s="773"/>
      <c r="E12" s="773"/>
      <c r="F12" s="772"/>
      <c r="G12" s="776"/>
      <c r="H12" s="596"/>
      <c r="I12" s="581"/>
      <c r="M12" s="676"/>
      <c r="N12" s="1009" t="s">
        <v>368</v>
      </c>
      <c r="O12" s="1010" t="s">
        <v>289</v>
      </c>
      <c r="P12" s="1278"/>
      <c r="Q12" s="1280"/>
      <c r="R12" s="731"/>
      <c r="S12" s="721"/>
      <c r="T12" s="64"/>
      <c r="U12" s="987"/>
      <c r="V12" s="988"/>
      <c r="W12" s="989" t="s">
        <v>168</v>
      </c>
      <c r="X12" s="990">
        <v>45909</v>
      </c>
      <c r="Y12" s="991" t="s">
        <v>229</v>
      </c>
      <c r="Z12" s="963"/>
      <c r="AA12" s="963"/>
      <c r="AB12" s="963"/>
    </row>
    <row r="13" spans="1:34" ht="24" customHeight="1" x14ac:dyDescent="0.2">
      <c r="A13" s="773"/>
      <c r="B13" s="773"/>
      <c r="C13" s="773"/>
      <c r="D13" s="773"/>
      <c r="E13" s="773"/>
      <c r="F13" s="772"/>
      <c r="G13" s="776"/>
      <c r="H13" s="596"/>
      <c r="I13" s="581"/>
      <c r="M13" s="676"/>
      <c r="N13" s="1007" t="s">
        <v>172</v>
      </c>
      <c r="O13" s="1008" t="s">
        <v>168</v>
      </c>
      <c r="P13" s="1273">
        <v>46147</v>
      </c>
      <c r="Q13" s="1275" t="s">
        <v>229</v>
      </c>
      <c r="R13" s="731"/>
      <c r="S13" s="721"/>
      <c r="T13" s="64"/>
      <c r="U13" s="992"/>
      <c r="V13" s="993"/>
      <c r="W13" s="994" t="s">
        <v>289</v>
      </c>
      <c r="X13" s="990">
        <v>45910</v>
      </c>
      <c r="Y13" s="995" t="s">
        <v>229</v>
      </c>
      <c r="Z13" s="963"/>
      <c r="AA13" s="963"/>
      <c r="AB13" s="963"/>
    </row>
    <row r="14" spans="1:34" ht="24" customHeight="1" x14ac:dyDescent="0.2">
      <c r="A14" s="773"/>
      <c r="B14" s="773"/>
      <c r="C14" s="773"/>
      <c r="D14" s="773"/>
      <c r="E14" s="773"/>
      <c r="F14" s="772"/>
      <c r="G14" s="776"/>
      <c r="H14" s="596"/>
      <c r="I14" s="581"/>
      <c r="M14" s="676"/>
      <c r="N14" s="1007" t="s">
        <v>369</v>
      </c>
      <c r="O14" s="1008" t="s">
        <v>289</v>
      </c>
      <c r="P14" s="1274"/>
      <c r="Q14" s="1276"/>
      <c r="R14" s="731"/>
      <c r="S14" s="721"/>
      <c r="T14" s="64"/>
      <c r="U14" s="987"/>
      <c r="V14" s="988"/>
      <c r="W14" s="989" t="s">
        <v>168</v>
      </c>
      <c r="X14" s="990">
        <v>45911</v>
      </c>
      <c r="Y14" s="991" t="s">
        <v>229</v>
      </c>
      <c r="Z14" s="963"/>
      <c r="AA14" s="963"/>
      <c r="AB14" s="963"/>
    </row>
    <row r="15" spans="1:34" ht="24" customHeight="1" x14ac:dyDescent="0.2">
      <c r="A15" s="773"/>
      <c r="B15" s="773"/>
      <c r="C15" s="773"/>
      <c r="D15" s="773"/>
      <c r="E15" s="773"/>
      <c r="F15" s="772"/>
      <c r="G15" s="776"/>
      <c r="H15" s="596"/>
      <c r="I15" s="581"/>
      <c r="M15" s="676"/>
      <c r="N15" s="1009" t="s">
        <v>370</v>
      </c>
      <c r="O15" s="1010" t="s">
        <v>168</v>
      </c>
      <c r="P15" s="1277">
        <v>46148</v>
      </c>
      <c r="Q15" s="1279" t="s">
        <v>229</v>
      </c>
      <c r="R15" s="731"/>
      <c r="S15" s="721"/>
      <c r="T15" s="64"/>
      <c r="U15" s="992"/>
      <c r="V15" s="993"/>
      <c r="W15" s="994" t="s">
        <v>289</v>
      </c>
      <c r="X15" s="990">
        <v>45912</v>
      </c>
      <c r="Y15" s="995" t="s">
        <v>229</v>
      </c>
      <c r="Z15" s="963"/>
      <c r="AA15" s="963"/>
      <c r="AB15" s="963"/>
    </row>
    <row r="16" spans="1:34" ht="24" customHeight="1" x14ac:dyDescent="0.2">
      <c r="A16" s="773"/>
      <c r="B16" s="773"/>
      <c r="C16" s="773"/>
      <c r="D16" s="773"/>
      <c r="E16" s="773"/>
      <c r="F16" s="772"/>
      <c r="G16" s="776"/>
      <c r="H16" s="596"/>
      <c r="I16" s="581"/>
      <c r="M16" s="676"/>
      <c r="N16" s="1009" t="s">
        <v>368</v>
      </c>
      <c r="O16" s="1010" t="s">
        <v>289</v>
      </c>
      <c r="P16" s="1278"/>
      <c r="Q16" s="1280"/>
      <c r="R16" s="731"/>
      <c r="S16" s="721"/>
      <c r="T16" s="64"/>
      <c r="U16" s="987"/>
      <c r="V16" s="988"/>
      <c r="W16" s="989" t="s">
        <v>168</v>
      </c>
      <c r="X16" s="990">
        <v>45913</v>
      </c>
      <c r="Y16" s="991" t="s">
        <v>229</v>
      </c>
      <c r="Z16" s="963"/>
      <c r="AA16" s="963"/>
      <c r="AB16" s="963"/>
    </row>
    <row r="17" spans="1:26" ht="24" customHeight="1" x14ac:dyDescent="0.2">
      <c r="A17" s="773"/>
      <c r="B17" s="773"/>
      <c r="C17" s="773"/>
      <c r="D17" s="773"/>
      <c r="E17" s="773"/>
      <c r="F17" s="772"/>
      <c r="G17" s="776" t="s">
        <v>152</v>
      </c>
      <c r="I17" s="642"/>
      <c r="J17" s="643"/>
      <c r="K17" s="581"/>
      <c r="M17" s="676"/>
      <c r="N17" s="1007" t="s">
        <v>187</v>
      </c>
      <c r="O17" s="1008" t="s">
        <v>168</v>
      </c>
      <c r="P17" s="1273">
        <v>46149</v>
      </c>
      <c r="Q17" s="1275" t="s">
        <v>229</v>
      </c>
      <c r="R17" s="731"/>
      <c r="S17" s="721"/>
      <c r="T17" s="64"/>
      <c r="U17" s="992"/>
      <c r="V17" s="993"/>
      <c r="W17" s="994" t="s">
        <v>289</v>
      </c>
      <c r="X17" s="990">
        <v>45914</v>
      </c>
      <c r="Y17" s="995" t="s">
        <v>229</v>
      </c>
    </row>
    <row r="18" spans="1:26" ht="24" customHeight="1" x14ac:dyDescent="0.2">
      <c r="A18" s="773"/>
      <c r="B18" s="773"/>
      <c r="C18" s="773"/>
      <c r="D18" s="773"/>
      <c r="E18" s="773"/>
      <c r="F18" s="772"/>
      <c r="G18" s="776" t="s">
        <v>195</v>
      </c>
      <c r="H18" s="674"/>
      <c r="M18" s="676"/>
      <c r="N18" s="1007" t="s">
        <v>192</v>
      </c>
      <c r="O18" s="1008" t="s">
        <v>289</v>
      </c>
      <c r="P18" s="1274"/>
      <c r="Q18" s="1276"/>
      <c r="R18" s="731"/>
      <c r="S18" s="721"/>
      <c r="T18" s="64"/>
      <c r="U18" s="987"/>
      <c r="V18" s="988"/>
      <c r="W18" s="989" t="s">
        <v>168</v>
      </c>
      <c r="X18" s="990">
        <v>45915</v>
      </c>
      <c r="Y18" s="991" t="s">
        <v>229</v>
      </c>
    </row>
    <row r="19" spans="1:26" ht="24" customHeight="1" x14ac:dyDescent="0.2">
      <c r="A19" s="773"/>
      <c r="B19" s="773"/>
      <c r="C19" s="773"/>
      <c r="D19" s="773"/>
      <c r="E19" s="773"/>
      <c r="F19" s="772"/>
      <c r="G19" s="776" t="s">
        <v>175</v>
      </c>
      <c r="H19" s="674"/>
      <c r="M19" s="676"/>
      <c r="N19" s="1009" t="s">
        <v>371</v>
      </c>
      <c r="O19" s="1010" t="s">
        <v>168</v>
      </c>
      <c r="P19" s="1277">
        <v>46150</v>
      </c>
      <c r="Q19" s="1279" t="s">
        <v>229</v>
      </c>
      <c r="R19" s="996"/>
      <c r="S19" s="721"/>
      <c r="T19" s="64"/>
      <c r="U19" s="992"/>
      <c r="V19" s="993"/>
      <c r="W19" s="994" t="s">
        <v>289</v>
      </c>
      <c r="X19" s="990">
        <v>45916</v>
      </c>
      <c r="Y19" s="995" t="s">
        <v>229</v>
      </c>
    </row>
    <row r="20" spans="1:26" ht="24" customHeight="1" x14ac:dyDescent="0.2">
      <c r="A20" s="773"/>
      <c r="B20" s="773"/>
      <c r="C20" s="773"/>
      <c r="D20" s="773"/>
      <c r="E20" s="773"/>
      <c r="F20" s="772"/>
      <c r="G20" s="776" t="s">
        <v>157</v>
      </c>
      <c r="H20" s="674"/>
      <c r="M20" s="676"/>
      <c r="N20" s="1009" t="s">
        <v>372</v>
      </c>
      <c r="O20" s="1010" t="s">
        <v>289</v>
      </c>
      <c r="P20" s="1278"/>
      <c r="Q20" s="1280"/>
      <c r="R20" s="996"/>
      <c r="S20" s="721"/>
      <c r="T20" s="64"/>
      <c r="U20" s="987"/>
      <c r="V20" s="988"/>
      <c r="W20" s="989" t="s">
        <v>168</v>
      </c>
      <c r="X20" s="990">
        <v>45917</v>
      </c>
      <c r="Y20" s="991" t="s">
        <v>229</v>
      </c>
    </row>
    <row r="21" spans="1:26" ht="24" customHeight="1" x14ac:dyDescent="0.2">
      <c r="A21" s="773"/>
      <c r="B21" s="773"/>
      <c r="C21" s="773"/>
      <c r="D21" s="773"/>
      <c r="E21" s="773"/>
      <c r="F21" s="772"/>
      <c r="G21" s="776" t="s">
        <v>161</v>
      </c>
      <c r="H21" s="641"/>
      <c r="I21" s="581"/>
      <c r="L21" s="642"/>
      <c r="M21" s="676"/>
      <c r="N21" s="1007" t="s">
        <v>373</v>
      </c>
      <c r="O21" s="1008" t="s">
        <v>168</v>
      </c>
      <c r="P21" s="1273">
        <v>46151</v>
      </c>
      <c r="Q21" s="1275" t="s">
        <v>229</v>
      </c>
      <c r="R21" s="996"/>
      <c r="S21" s="721"/>
      <c r="T21" s="64"/>
      <c r="U21" s="992"/>
      <c r="V21" s="993"/>
      <c r="W21" s="994" t="s">
        <v>289</v>
      </c>
      <c r="X21" s="990">
        <v>45918</v>
      </c>
      <c r="Y21" s="995" t="s">
        <v>229</v>
      </c>
      <c r="Z21" s="642"/>
    </row>
    <row r="22" spans="1:26" ht="24" customHeight="1" x14ac:dyDescent="0.2">
      <c r="A22" s="773"/>
      <c r="B22" s="773"/>
      <c r="C22" s="773"/>
      <c r="D22" s="773"/>
      <c r="E22" s="773"/>
      <c r="F22" s="772"/>
      <c r="G22" s="777" t="s">
        <v>183</v>
      </c>
      <c r="H22" s="674"/>
      <c r="M22" s="676"/>
      <c r="N22" s="1007" t="s">
        <v>368</v>
      </c>
      <c r="O22" s="1008" t="s">
        <v>289</v>
      </c>
      <c r="P22" s="1274"/>
      <c r="Q22" s="1276"/>
      <c r="R22" s="996"/>
      <c r="S22" s="721"/>
      <c r="T22" s="64"/>
      <c r="U22" s="987"/>
      <c r="V22" s="988"/>
      <c r="W22" s="989" t="s">
        <v>168</v>
      </c>
      <c r="X22" s="990">
        <v>45919</v>
      </c>
      <c r="Y22" s="991" t="s">
        <v>229</v>
      </c>
      <c r="Z22" s="827"/>
    </row>
    <row r="23" spans="1:26" ht="24" customHeight="1" x14ac:dyDescent="0.2">
      <c r="A23" s="773"/>
      <c r="B23" s="773"/>
      <c r="C23" s="773"/>
      <c r="D23" s="773"/>
      <c r="E23" s="773"/>
      <c r="F23" s="772"/>
      <c r="G23" s="777"/>
      <c r="H23" s="674"/>
      <c r="M23" s="676"/>
      <c r="N23" s="1009" t="s">
        <v>159</v>
      </c>
      <c r="O23" s="1010" t="s">
        <v>168</v>
      </c>
      <c r="P23" s="1277">
        <v>46152</v>
      </c>
      <c r="Q23" s="1279" t="s">
        <v>229</v>
      </c>
      <c r="R23" s="996"/>
      <c r="S23" s="721"/>
      <c r="T23" s="64"/>
      <c r="U23" s="992"/>
      <c r="V23" s="993"/>
      <c r="W23" s="994" t="s">
        <v>289</v>
      </c>
      <c r="X23" s="990">
        <v>45920</v>
      </c>
      <c r="Y23" s="995" t="s">
        <v>229</v>
      </c>
      <c r="Z23" s="827"/>
    </row>
    <row r="24" spans="1:26" ht="24" customHeight="1" x14ac:dyDescent="0.2">
      <c r="A24" s="773"/>
      <c r="B24" s="773"/>
      <c r="C24" s="773"/>
      <c r="D24" s="773"/>
      <c r="E24" s="773"/>
      <c r="F24" s="772"/>
      <c r="G24" s="776" t="s">
        <v>162</v>
      </c>
      <c r="H24" s="674"/>
      <c r="M24" s="676"/>
      <c r="N24" s="1009" t="s">
        <v>368</v>
      </c>
      <c r="O24" s="1010" t="s">
        <v>289</v>
      </c>
      <c r="P24" s="1278"/>
      <c r="Q24" s="1280"/>
      <c r="R24" s="996"/>
      <c r="S24" s="721"/>
      <c r="T24" s="64"/>
      <c r="U24" s="987"/>
      <c r="V24" s="988"/>
      <c r="W24" s="989" t="s">
        <v>168</v>
      </c>
      <c r="X24" s="990">
        <v>45921</v>
      </c>
      <c r="Y24" s="991" t="s">
        <v>229</v>
      </c>
      <c r="Z24" s="642"/>
    </row>
    <row r="25" spans="1:26" ht="24" customHeight="1" x14ac:dyDescent="0.2">
      <c r="A25" s="773"/>
      <c r="B25" s="773"/>
      <c r="C25" s="773"/>
      <c r="D25" s="773"/>
      <c r="E25" s="773"/>
      <c r="F25" s="772"/>
      <c r="G25" s="776" t="s">
        <v>149</v>
      </c>
      <c r="H25" s="674"/>
      <c r="M25" s="676"/>
      <c r="N25" s="1007" t="s">
        <v>374</v>
      </c>
      <c r="O25" s="1008" t="s">
        <v>168</v>
      </c>
      <c r="P25" s="1273">
        <v>46153</v>
      </c>
      <c r="Q25" s="1275" t="s">
        <v>229</v>
      </c>
      <c r="R25" s="996"/>
      <c r="S25" s="721"/>
      <c r="T25" s="64"/>
      <c r="U25" s="992"/>
      <c r="V25" s="993"/>
      <c r="W25" s="994" t="s">
        <v>289</v>
      </c>
      <c r="X25" s="990">
        <v>45922</v>
      </c>
      <c r="Y25" s="995" t="s">
        <v>229</v>
      </c>
      <c r="Z25" s="827"/>
    </row>
    <row r="26" spans="1:26" ht="24" customHeight="1" x14ac:dyDescent="0.2">
      <c r="A26" s="773"/>
      <c r="B26" s="773"/>
      <c r="C26" s="773"/>
      <c r="D26" s="773"/>
      <c r="E26" s="773"/>
      <c r="F26" s="772"/>
      <c r="G26" s="776" t="s">
        <v>174</v>
      </c>
      <c r="H26" s="674"/>
      <c r="M26" s="676"/>
      <c r="N26" s="1007" t="s">
        <v>195</v>
      </c>
      <c r="O26" s="1008" t="s">
        <v>289</v>
      </c>
      <c r="P26" s="1274"/>
      <c r="Q26" s="1276"/>
      <c r="R26" s="996"/>
      <c r="S26" s="721"/>
      <c r="T26" s="64"/>
      <c r="U26" s="987"/>
      <c r="V26" s="988"/>
      <c r="W26" s="989" t="s">
        <v>168</v>
      </c>
      <c r="X26" s="990">
        <v>45923</v>
      </c>
      <c r="Y26" s="991" t="s">
        <v>229</v>
      </c>
      <c r="Z26" s="827"/>
    </row>
    <row r="27" spans="1:26" ht="24" customHeight="1" x14ac:dyDescent="0.2">
      <c r="A27" s="773"/>
      <c r="B27" s="773"/>
      <c r="C27" s="773"/>
      <c r="D27" s="773"/>
      <c r="E27" s="773"/>
      <c r="F27" s="772"/>
      <c r="G27" s="776" t="s">
        <v>146</v>
      </c>
      <c r="H27" s="674"/>
      <c r="M27" s="676"/>
      <c r="N27" s="1009" t="s">
        <v>375</v>
      </c>
      <c r="O27" s="1010" t="s">
        <v>168</v>
      </c>
      <c r="P27" s="1277">
        <v>46154</v>
      </c>
      <c r="Q27" s="1279" t="s">
        <v>229</v>
      </c>
      <c r="R27" s="996"/>
      <c r="S27" s="721"/>
      <c r="T27" s="64"/>
      <c r="U27" s="992"/>
      <c r="V27" s="993"/>
      <c r="W27" s="994" t="s">
        <v>289</v>
      </c>
      <c r="X27" s="990">
        <v>45924</v>
      </c>
      <c r="Y27" s="995" t="s">
        <v>229</v>
      </c>
      <c r="Z27" s="827"/>
    </row>
    <row r="28" spans="1:26" ht="24" customHeight="1" x14ac:dyDescent="0.2">
      <c r="A28" s="773"/>
      <c r="B28" s="773"/>
      <c r="C28" s="773"/>
      <c r="D28" s="773"/>
      <c r="E28" s="773"/>
      <c r="F28" s="772"/>
      <c r="G28" s="776"/>
      <c r="H28" s="674"/>
      <c r="M28" s="676"/>
      <c r="N28" s="1009" t="s">
        <v>197</v>
      </c>
      <c r="O28" s="1010" t="s">
        <v>289</v>
      </c>
      <c r="P28" s="1278"/>
      <c r="Q28" s="1280"/>
      <c r="R28" s="996"/>
      <c r="S28" s="721"/>
      <c r="T28" s="64"/>
      <c r="U28" s="987"/>
      <c r="V28" s="988"/>
      <c r="W28" s="989" t="s">
        <v>168</v>
      </c>
      <c r="X28" s="990">
        <v>45925</v>
      </c>
      <c r="Y28" s="991" t="s">
        <v>229</v>
      </c>
      <c r="Z28" s="827"/>
    </row>
    <row r="29" spans="1:26" ht="24" customHeight="1" x14ac:dyDescent="0.2">
      <c r="A29" s="773"/>
      <c r="B29" s="773"/>
      <c r="C29" s="773"/>
      <c r="D29" s="773"/>
      <c r="E29" s="773"/>
      <c r="F29" s="772"/>
      <c r="G29" s="776" t="s">
        <v>180</v>
      </c>
      <c r="H29" s="674"/>
      <c r="M29" s="676"/>
      <c r="N29" s="1007" t="s">
        <v>384</v>
      </c>
      <c r="O29" s="1008" t="s">
        <v>168</v>
      </c>
      <c r="P29" s="1273">
        <v>46155</v>
      </c>
      <c r="Q29" s="1275" t="s">
        <v>229</v>
      </c>
      <c r="R29" s="996"/>
      <c r="S29" s="721"/>
      <c r="T29" s="64"/>
      <c r="U29" s="992"/>
      <c r="V29" s="993"/>
      <c r="W29" s="994" t="s">
        <v>289</v>
      </c>
      <c r="X29" s="990">
        <v>45926</v>
      </c>
      <c r="Y29" s="995" t="s">
        <v>229</v>
      </c>
      <c r="Z29" s="827"/>
    </row>
    <row r="30" spans="1:26" ht="24" customHeight="1" x14ac:dyDescent="0.2">
      <c r="A30" s="773"/>
      <c r="B30" s="773"/>
      <c r="C30" s="773"/>
      <c r="D30" s="773"/>
      <c r="E30" s="773"/>
      <c r="F30" s="772"/>
      <c r="G30" s="777" t="s">
        <v>156</v>
      </c>
      <c r="H30" s="674"/>
      <c r="M30" s="676"/>
      <c r="N30" s="1007" t="s">
        <v>297</v>
      </c>
      <c r="O30" s="1008" t="s">
        <v>289</v>
      </c>
      <c r="P30" s="1274"/>
      <c r="Q30" s="1276"/>
      <c r="R30" s="996"/>
      <c r="S30" s="721"/>
      <c r="T30" s="64"/>
      <c r="U30" s="987"/>
      <c r="V30" s="988"/>
      <c r="W30" s="989" t="s">
        <v>168</v>
      </c>
      <c r="X30" s="990">
        <v>45927</v>
      </c>
      <c r="Y30" s="991" t="s">
        <v>229</v>
      </c>
      <c r="Z30" s="642"/>
    </row>
    <row r="31" spans="1:26" ht="24" customHeight="1" thickBot="1" x14ac:dyDescent="0.25">
      <c r="A31" s="773"/>
      <c r="B31" s="773"/>
      <c r="C31" s="773"/>
      <c r="D31" s="773"/>
      <c r="E31" s="773"/>
      <c r="F31" s="772"/>
      <c r="G31" s="776" t="s">
        <v>196</v>
      </c>
      <c r="H31" s="674"/>
      <c r="M31" s="676"/>
      <c r="N31" s="1009" t="s">
        <v>155</v>
      </c>
      <c r="O31" s="1010" t="s">
        <v>168</v>
      </c>
      <c r="P31" s="1277">
        <v>46156</v>
      </c>
      <c r="Q31" s="1279" t="s">
        <v>229</v>
      </c>
      <c r="R31" s="996"/>
      <c r="S31" s="721"/>
      <c r="T31" s="64"/>
      <c r="U31" s="1034"/>
      <c r="V31" s="1035"/>
      <c r="W31" s="1036" t="s">
        <v>289</v>
      </c>
      <c r="X31" s="1037">
        <v>45928</v>
      </c>
      <c r="Y31" s="1038" t="s">
        <v>229</v>
      </c>
      <c r="Z31" s="827"/>
    </row>
    <row r="32" spans="1:26" ht="24" customHeight="1" thickBot="1" x14ac:dyDescent="0.25">
      <c r="A32" s="773"/>
      <c r="B32" s="773"/>
      <c r="C32" s="773"/>
      <c r="D32" s="773"/>
      <c r="E32" s="773"/>
      <c r="F32" s="772"/>
      <c r="G32" s="777" t="s">
        <v>197</v>
      </c>
      <c r="H32" s="674"/>
      <c r="M32" s="676"/>
      <c r="N32" s="1021" t="s">
        <v>191</v>
      </c>
      <c r="O32" s="1022" t="s">
        <v>289</v>
      </c>
      <c r="P32" s="1278"/>
      <c r="Q32" s="1281"/>
      <c r="R32" s="996"/>
      <c r="S32" s="721"/>
      <c r="T32" s="64"/>
      <c r="Z32" s="642"/>
    </row>
    <row r="33" spans="1:26" ht="24" customHeight="1" x14ac:dyDescent="0.2">
      <c r="A33" s="773"/>
      <c r="B33" s="773"/>
      <c r="C33" s="773"/>
      <c r="D33" s="773"/>
      <c r="E33" s="773"/>
      <c r="F33" s="772"/>
      <c r="H33" s="674"/>
      <c r="M33" s="676"/>
      <c r="N33" s="1282" t="s">
        <v>365</v>
      </c>
      <c r="O33" s="1283"/>
      <c r="P33" s="1283"/>
      <c r="Q33" s="1284"/>
      <c r="R33" s="996"/>
      <c r="S33" s="721"/>
      <c r="T33" s="64"/>
      <c r="Z33" s="827"/>
    </row>
    <row r="34" spans="1:26" ht="24" customHeight="1" x14ac:dyDescent="0.2">
      <c r="A34" s="773"/>
      <c r="B34" s="773"/>
      <c r="C34" s="773"/>
      <c r="D34" s="773"/>
      <c r="E34" s="773"/>
      <c r="F34" s="772"/>
      <c r="G34" s="776" t="s">
        <v>199</v>
      </c>
      <c r="H34" s="674"/>
      <c r="M34" s="676"/>
      <c r="N34" s="1007" t="s">
        <v>376</v>
      </c>
      <c r="O34" s="1008" t="s">
        <v>168</v>
      </c>
      <c r="P34" s="1273">
        <v>46157</v>
      </c>
      <c r="Q34" s="1275" t="s">
        <v>229</v>
      </c>
      <c r="R34" s="997"/>
      <c r="S34" s="721"/>
      <c r="T34" s="64"/>
    </row>
    <row r="35" spans="1:26" ht="24" customHeight="1" x14ac:dyDescent="0.2">
      <c r="A35" s="773"/>
      <c r="B35" s="773"/>
      <c r="C35" s="773"/>
      <c r="D35" s="773"/>
      <c r="E35" s="773"/>
      <c r="F35" s="772"/>
      <c r="G35" s="776"/>
      <c r="H35" s="674"/>
      <c r="M35" s="676"/>
      <c r="N35" s="1007" t="s">
        <v>341</v>
      </c>
      <c r="O35" s="1008" t="s">
        <v>289</v>
      </c>
      <c r="P35" s="1274" t="s">
        <v>312</v>
      </c>
      <c r="Q35" s="1276" t="s">
        <v>229</v>
      </c>
      <c r="R35" s="997"/>
      <c r="S35" s="721"/>
      <c r="T35" s="704"/>
    </row>
    <row r="36" spans="1:26" ht="24" customHeight="1" x14ac:dyDescent="0.2">
      <c r="A36" s="773"/>
      <c r="B36" s="773"/>
      <c r="C36" s="773"/>
      <c r="D36" s="773"/>
      <c r="E36" s="773"/>
      <c r="F36" s="772"/>
      <c r="G36" s="776" t="s">
        <v>200</v>
      </c>
      <c r="H36" s="674"/>
      <c r="M36" s="676"/>
      <c r="N36" s="1009" t="s">
        <v>162</v>
      </c>
      <c r="O36" s="1010" t="s">
        <v>168</v>
      </c>
      <c r="P36" s="1277">
        <v>46158</v>
      </c>
      <c r="Q36" s="1279" t="s">
        <v>229</v>
      </c>
      <c r="R36" s="997"/>
      <c r="S36" s="721"/>
      <c r="T36" s="64"/>
    </row>
    <row r="37" spans="1:26" ht="24" customHeight="1" x14ac:dyDescent="0.2">
      <c r="A37" s="773"/>
      <c r="B37" s="773"/>
      <c r="C37" s="773"/>
      <c r="D37" s="773"/>
      <c r="E37" s="773"/>
      <c r="F37" s="772"/>
      <c r="G37" s="776" t="s">
        <v>201</v>
      </c>
      <c r="H37" s="674"/>
      <c r="M37" s="676"/>
      <c r="N37" s="1009" t="s">
        <v>368</v>
      </c>
      <c r="O37" s="1010" t="s">
        <v>289</v>
      </c>
      <c r="P37" s="1278" t="s">
        <v>313</v>
      </c>
      <c r="Q37" s="1280" t="s">
        <v>229</v>
      </c>
      <c r="R37" s="997"/>
      <c r="S37" s="721"/>
      <c r="T37" s="64"/>
    </row>
    <row r="38" spans="1:26" ht="24" customHeight="1" x14ac:dyDescent="0.2">
      <c r="A38" s="773"/>
      <c r="B38" s="773"/>
      <c r="C38" s="773"/>
      <c r="D38" s="773"/>
      <c r="E38" s="773"/>
      <c r="F38" s="772"/>
      <c r="G38" s="776" t="s">
        <v>202</v>
      </c>
      <c r="H38" s="674"/>
      <c r="M38" s="676"/>
      <c r="N38" s="1007" t="s">
        <v>265</v>
      </c>
      <c r="O38" s="1008" t="s">
        <v>168</v>
      </c>
      <c r="P38" s="1273">
        <v>46159</v>
      </c>
      <c r="Q38" s="1275" t="s">
        <v>229</v>
      </c>
      <c r="R38" s="997"/>
      <c r="S38" s="721"/>
      <c r="T38" s="64"/>
    </row>
    <row r="39" spans="1:26" ht="24" customHeight="1" x14ac:dyDescent="0.2">
      <c r="A39" s="773"/>
      <c r="B39" s="773"/>
      <c r="C39" s="773"/>
      <c r="D39" s="773"/>
      <c r="E39" s="773"/>
      <c r="F39" s="772"/>
      <c r="G39" s="776" t="s">
        <v>203</v>
      </c>
      <c r="H39" s="674"/>
      <c r="M39" s="716"/>
      <c r="N39" s="1007" t="s">
        <v>368</v>
      </c>
      <c r="O39" s="1008" t="s">
        <v>289</v>
      </c>
      <c r="P39" s="1274" t="s">
        <v>314</v>
      </c>
      <c r="Q39" s="1276" t="s">
        <v>229</v>
      </c>
      <c r="R39" s="997"/>
      <c r="S39" s="721"/>
      <c r="T39" s="64"/>
    </row>
    <row r="40" spans="1:26" ht="24" customHeight="1" x14ac:dyDescent="0.2">
      <c r="A40" s="773"/>
      <c r="B40" s="773"/>
      <c r="C40" s="773"/>
      <c r="D40" s="773"/>
      <c r="E40" s="773"/>
      <c r="F40" s="772"/>
      <c r="G40" s="642"/>
      <c r="H40" s="674"/>
      <c r="M40" s="691"/>
      <c r="N40" s="1009" t="s">
        <v>377</v>
      </c>
      <c r="O40" s="1010" t="s">
        <v>168</v>
      </c>
      <c r="P40" s="1277">
        <v>46160</v>
      </c>
      <c r="Q40" s="1279" t="s">
        <v>229</v>
      </c>
      <c r="R40" s="997"/>
      <c r="S40" s="721"/>
      <c r="T40" s="64"/>
    </row>
    <row r="41" spans="1:26" ht="24" customHeight="1" x14ac:dyDescent="0.2">
      <c r="A41" s="773"/>
      <c r="B41" s="773"/>
      <c r="C41" s="773"/>
      <c r="D41" s="773"/>
      <c r="E41" s="773"/>
      <c r="F41" s="772"/>
      <c r="H41" s="674"/>
      <c r="M41" s="691"/>
      <c r="N41" s="1009" t="s">
        <v>300</v>
      </c>
      <c r="O41" s="1010" t="s">
        <v>289</v>
      </c>
      <c r="P41" s="1278" t="s">
        <v>315</v>
      </c>
      <c r="Q41" s="1280" t="s">
        <v>229</v>
      </c>
      <c r="R41" s="997"/>
      <c r="S41" s="721"/>
      <c r="T41" s="64"/>
    </row>
    <row r="42" spans="1:26" ht="24" customHeight="1" thickBot="1" x14ac:dyDescent="0.25">
      <c r="A42" s="773"/>
      <c r="B42" s="773"/>
      <c r="C42" s="773"/>
      <c r="D42" s="773"/>
      <c r="E42" s="773"/>
      <c r="F42" s="772"/>
      <c r="G42" s="776" t="s">
        <v>211</v>
      </c>
      <c r="H42" s="674"/>
      <c r="M42" s="715"/>
      <c r="N42" s="1007" t="s">
        <v>378</v>
      </c>
      <c r="O42" s="1008" t="s">
        <v>168</v>
      </c>
      <c r="P42" s="1273">
        <v>46161</v>
      </c>
      <c r="Q42" s="1275" t="s">
        <v>229</v>
      </c>
      <c r="R42" s="997"/>
      <c r="S42" s="721"/>
      <c r="T42" s="64"/>
    </row>
    <row r="43" spans="1:26" ht="24" customHeight="1" x14ac:dyDescent="0.2">
      <c r="A43" s="773"/>
      <c r="B43" s="773"/>
      <c r="C43" s="773"/>
      <c r="D43" s="773"/>
      <c r="E43" s="773"/>
      <c r="F43" s="772"/>
      <c r="G43" s="776" t="s">
        <v>210</v>
      </c>
      <c r="H43" s="674"/>
      <c r="M43" s="691"/>
      <c r="N43" s="1007" t="s">
        <v>299</v>
      </c>
      <c r="O43" s="1008" t="s">
        <v>289</v>
      </c>
      <c r="P43" s="1274" t="s">
        <v>316</v>
      </c>
      <c r="Q43" s="1276" t="s">
        <v>229</v>
      </c>
      <c r="R43" s="997"/>
      <c r="S43" s="721"/>
      <c r="T43" s="64"/>
    </row>
    <row r="44" spans="1:26" ht="24" customHeight="1" x14ac:dyDescent="0.2">
      <c r="A44" s="773"/>
      <c r="B44" s="773"/>
      <c r="C44" s="773"/>
      <c r="D44" s="773"/>
      <c r="E44" s="773"/>
      <c r="F44" s="772"/>
      <c r="G44" s="776"/>
      <c r="H44" s="674"/>
      <c r="M44" s="691"/>
      <c r="N44" s="1009" t="s">
        <v>146</v>
      </c>
      <c r="O44" s="1010" t="s">
        <v>168</v>
      </c>
      <c r="P44" s="1277">
        <v>46162</v>
      </c>
      <c r="Q44" s="1279" t="s">
        <v>229</v>
      </c>
      <c r="R44" s="997"/>
      <c r="S44" s="721"/>
      <c r="T44" s="64"/>
    </row>
    <row r="45" spans="1:26" ht="24" customHeight="1" x14ac:dyDescent="0.2">
      <c r="A45" s="773"/>
      <c r="B45" s="773"/>
      <c r="C45" s="773"/>
      <c r="D45" s="773"/>
      <c r="E45" s="773"/>
      <c r="F45" s="772"/>
      <c r="G45" s="776" t="s">
        <v>204</v>
      </c>
      <c r="H45" s="674"/>
      <c r="M45" s="691"/>
      <c r="N45" s="1009" t="s">
        <v>342</v>
      </c>
      <c r="O45" s="1010" t="s">
        <v>289</v>
      </c>
      <c r="P45" s="1278" t="s">
        <v>317</v>
      </c>
      <c r="Q45" s="1280"/>
      <c r="R45" s="997"/>
      <c r="S45" s="721"/>
      <c r="T45" s="64"/>
    </row>
    <row r="46" spans="1:26" ht="24" customHeight="1" x14ac:dyDescent="0.2">
      <c r="A46" s="773"/>
      <c r="B46" s="773"/>
      <c r="C46" s="773"/>
      <c r="D46" s="773"/>
      <c r="E46" s="773"/>
      <c r="F46" s="772"/>
      <c r="G46" s="776" t="s">
        <v>209</v>
      </c>
      <c r="H46" s="674"/>
      <c r="M46" s="691"/>
      <c r="N46" s="1007" t="s">
        <v>379</v>
      </c>
      <c r="O46" s="1008" t="s">
        <v>168</v>
      </c>
      <c r="P46" s="1273">
        <v>46163</v>
      </c>
      <c r="Q46" s="1275" t="s">
        <v>229</v>
      </c>
      <c r="R46" s="997"/>
      <c r="S46" s="721"/>
      <c r="T46" s="64"/>
      <c r="U46" s="704"/>
      <c r="V46" s="704"/>
      <c r="W46" s="704"/>
      <c r="X46" s="704"/>
    </row>
    <row r="47" spans="1:26" ht="24" customHeight="1" x14ac:dyDescent="0.2">
      <c r="A47" s="773"/>
      <c r="B47" s="773"/>
      <c r="C47" s="773"/>
      <c r="D47" s="773"/>
      <c r="E47" s="773"/>
      <c r="F47" s="772"/>
      <c r="G47" s="776" t="s">
        <v>205</v>
      </c>
      <c r="H47" s="674"/>
      <c r="M47" s="691"/>
      <c r="N47" s="1014" t="s">
        <v>368</v>
      </c>
      <c r="O47" s="1008" t="s">
        <v>289</v>
      </c>
      <c r="P47" s="1274" t="s">
        <v>318</v>
      </c>
      <c r="Q47" s="1276" t="s">
        <v>229</v>
      </c>
      <c r="R47" s="997"/>
      <c r="S47" s="721"/>
      <c r="T47" s="64"/>
      <c r="U47" s="704"/>
      <c r="V47" s="966"/>
      <c r="W47" s="704"/>
      <c r="X47" s="704"/>
    </row>
    <row r="48" spans="1:26" ht="24" customHeight="1" x14ac:dyDescent="0.2">
      <c r="A48" s="773"/>
      <c r="B48" s="773"/>
      <c r="C48" s="773"/>
      <c r="D48" s="773"/>
      <c r="E48" s="773"/>
      <c r="F48" s="772"/>
      <c r="G48" s="776" t="s">
        <v>208</v>
      </c>
      <c r="H48" s="674"/>
      <c r="M48" s="691"/>
      <c r="N48" s="1009" t="s">
        <v>258</v>
      </c>
      <c r="O48" s="1010" t="s">
        <v>168</v>
      </c>
      <c r="P48" s="1277">
        <v>46164</v>
      </c>
      <c r="Q48" s="1279" t="s">
        <v>229</v>
      </c>
      <c r="R48" s="997"/>
      <c r="S48" s="721"/>
      <c r="T48" s="64"/>
      <c r="U48" s="704"/>
      <c r="V48" s="722"/>
      <c r="W48" s="704"/>
      <c r="X48" s="723"/>
    </row>
    <row r="49" spans="1:24" ht="24" customHeight="1" x14ac:dyDescent="0.2">
      <c r="A49" s="773"/>
      <c r="B49" s="773"/>
      <c r="C49" s="773"/>
      <c r="D49" s="773"/>
      <c r="E49" s="773"/>
      <c r="F49" s="772"/>
      <c r="G49" s="776" t="s">
        <v>206</v>
      </c>
      <c r="H49" s="674"/>
      <c r="M49" s="691"/>
      <c r="N49" s="1009" t="s">
        <v>296</v>
      </c>
      <c r="O49" s="1010" t="s">
        <v>289</v>
      </c>
      <c r="P49" s="1278" t="s">
        <v>319</v>
      </c>
      <c r="Q49" s="1280" t="s">
        <v>229</v>
      </c>
      <c r="R49" s="997"/>
      <c r="S49" s="721"/>
      <c r="T49" s="64"/>
      <c r="U49" s="704"/>
      <c r="V49" s="722"/>
      <c r="W49" s="723"/>
      <c r="X49" s="704"/>
    </row>
    <row r="50" spans="1:24" ht="24" customHeight="1" x14ac:dyDescent="0.2">
      <c r="A50" s="773"/>
      <c r="B50" s="773"/>
      <c r="C50" s="773"/>
      <c r="D50" s="773"/>
      <c r="E50" s="773"/>
      <c r="F50" s="772"/>
      <c r="G50" s="776" t="s">
        <v>207</v>
      </c>
      <c r="H50" s="674"/>
      <c r="M50" s="691"/>
      <c r="N50" s="1007" t="s">
        <v>259</v>
      </c>
      <c r="O50" s="1008" t="s">
        <v>168</v>
      </c>
      <c r="P50" s="1273">
        <v>46165</v>
      </c>
      <c r="Q50" s="1275" t="s">
        <v>229</v>
      </c>
      <c r="R50" s="997"/>
      <c r="S50" s="721"/>
      <c r="T50" s="64"/>
      <c r="U50" s="704"/>
      <c r="V50" s="722"/>
      <c r="W50" s="723"/>
      <c r="X50" s="704"/>
    </row>
    <row r="51" spans="1:24" ht="24" customHeight="1" x14ac:dyDescent="0.2">
      <c r="A51" s="773"/>
      <c r="B51" s="773"/>
      <c r="C51" s="773"/>
      <c r="D51" s="773"/>
      <c r="E51" s="773"/>
      <c r="F51" s="772"/>
      <c r="G51" s="652"/>
      <c r="H51" s="674"/>
      <c r="M51" s="691"/>
      <c r="N51" s="1007" t="s">
        <v>368</v>
      </c>
      <c r="O51" s="1008" t="s">
        <v>289</v>
      </c>
      <c r="P51" s="1274" t="s">
        <v>320</v>
      </c>
      <c r="Q51" s="1276" t="s">
        <v>229</v>
      </c>
      <c r="R51" s="997"/>
      <c r="S51" s="721"/>
      <c r="T51" s="64"/>
      <c r="U51" s="704"/>
      <c r="V51" s="722"/>
      <c r="W51" s="723"/>
      <c r="X51" s="704"/>
    </row>
    <row r="52" spans="1:24" ht="24" customHeight="1" x14ac:dyDescent="0.2">
      <c r="A52" s="773"/>
      <c r="B52" s="773"/>
      <c r="C52" s="773"/>
      <c r="D52" s="773"/>
      <c r="E52" s="773"/>
      <c r="F52" s="772"/>
      <c r="G52" s="652"/>
      <c r="H52" s="674"/>
      <c r="M52" s="691"/>
      <c r="N52" s="1009" t="s">
        <v>380</v>
      </c>
      <c r="O52" s="1010" t="s">
        <v>168</v>
      </c>
      <c r="P52" s="1277">
        <v>46166</v>
      </c>
      <c r="Q52" s="1279" t="s">
        <v>229</v>
      </c>
      <c r="R52" s="997"/>
      <c r="S52" s="721"/>
      <c r="T52" s="64"/>
      <c r="U52" s="704"/>
      <c r="V52" s="722"/>
      <c r="W52" s="723"/>
      <c r="X52" s="704"/>
    </row>
    <row r="53" spans="1:24" ht="24" customHeight="1" x14ac:dyDescent="0.2">
      <c r="A53" s="773"/>
      <c r="B53" s="773"/>
      <c r="C53" s="773"/>
      <c r="D53" s="773"/>
      <c r="E53" s="773"/>
      <c r="F53" s="772"/>
      <c r="G53" s="652"/>
      <c r="H53" s="674"/>
      <c r="M53" s="691"/>
      <c r="N53" s="1009" t="s">
        <v>368</v>
      </c>
      <c r="O53" s="1010" t="s">
        <v>289</v>
      </c>
      <c r="P53" s="1278" t="s">
        <v>321</v>
      </c>
      <c r="Q53" s="1280" t="s">
        <v>229</v>
      </c>
      <c r="R53" s="997"/>
      <c r="S53" s="721"/>
      <c r="T53" s="64"/>
      <c r="U53" s="704"/>
      <c r="V53" s="722"/>
      <c r="W53" s="723"/>
      <c r="X53" s="704"/>
    </row>
    <row r="54" spans="1:24" ht="24" customHeight="1" x14ac:dyDescent="0.2">
      <c r="A54" s="773"/>
      <c r="B54" s="773"/>
      <c r="C54" s="773"/>
      <c r="D54" s="773"/>
      <c r="E54" s="773"/>
      <c r="F54" s="772"/>
      <c r="G54" s="652"/>
      <c r="H54" s="674"/>
      <c r="M54" s="691"/>
      <c r="N54" s="1007" t="s">
        <v>152</v>
      </c>
      <c r="O54" s="1008" t="s">
        <v>168</v>
      </c>
      <c r="P54" s="1273">
        <v>46167</v>
      </c>
      <c r="Q54" s="1275" t="s">
        <v>229</v>
      </c>
      <c r="R54" s="997"/>
      <c r="S54" s="721"/>
      <c r="T54" s="64"/>
      <c r="U54" s="704"/>
      <c r="V54" s="722"/>
      <c r="W54" s="723"/>
      <c r="X54" s="704"/>
    </row>
    <row r="55" spans="1:24" ht="24" customHeight="1" x14ac:dyDescent="0.2">
      <c r="A55" s="773"/>
      <c r="B55" s="773"/>
      <c r="C55" s="773"/>
      <c r="D55" s="773"/>
      <c r="E55" s="773"/>
      <c r="F55" s="772"/>
      <c r="G55" s="594"/>
      <c r="H55" s="594"/>
      <c r="I55" s="674"/>
      <c r="M55" s="691"/>
      <c r="N55" s="1007" t="s">
        <v>368</v>
      </c>
      <c r="O55" s="1008" t="s">
        <v>289</v>
      </c>
      <c r="P55" s="1274" t="s">
        <v>322</v>
      </c>
      <c r="Q55" s="1276" t="s">
        <v>229</v>
      </c>
      <c r="R55" s="997"/>
      <c r="S55" s="721"/>
      <c r="T55" s="64"/>
      <c r="U55" s="704"/>
      <c r="V55" s="722"/>
      <c r="W55" s="723"/>
      <c r="X55" s="704"/>
    </row>
    <row r="56" spans="1:24" ht="20.100000000000001" customHeight="1" x14ac:dyDescent="0.2">
      <c r="A56" s="773"/>
      <c r="B56" s="773"/>
      <c r="C56" s="773"/>
      <c r="D56" s="773"/>
      <c r="E56" s="773"/>
      <c r="F56" s="772"/>
      <c r="G56" s="652"/>
      <c r="H56" s="594"/>
      <c r="I56" s="674"/>
      <c r="M56" s="691"/>
      <c r="N56" s="1009" t="s">
        <v>287</v>
      </c>
      <c r="O56" s="1010" t="s">
        <v>168</v>
      </c>
      <c r="P56" s="1277">
        <v>46168</v>
      </c>
      <c r="Q56" s="1279" t="s">
        <v>229</v>
      </c>
      <c r="R56" s="997"/>
      <c r="S56" s="721"/>
      <c r="T56" s="64"/>
      <c r="U56" s="704"/>
      <c r="V56" s="722"/>
      <c r="W56" s="723"/>
      <c r="X56" s="704"/>
    </row>
    <row r="57" spans="1:24" ht="24" customHeight="1" x14ac:dyDescent="0.2">
      <c r="A57" s="773"/>
      <c r="B57" s="773"/>
      <c r="C57" s="773"/>
      <c r="D57" s="773"/>
      <c r="E57" s="773"/>
      <c r="F57" s="772"/>
      <c r="G57" s="652"/>
      <c r="H57" s="594"/>
      <c r="I57" s="674"/>
      <c r="M57" s="691"/>
      <c r="N57" s="1015" t="s">
        <v>368</v>
      </c>
      <c r="O57" s="1010" t="s">
        <v>289</v>
      </c>
      <c r="P57" s="1278" t="s">
        <v>323</v>
      </c>
      <c r="Q57" s="1280" t="s">
        <v>229</v>
      </c>
      <c r="R57" s="997"/>
      <c r="S57" s="721"/>
      <c r="T57" s="64"/>
      <c r="U57" s="704"/>
      <c r="V57" s="722"/>
      <c r="W57" s="723"/>
      <c r="X57" s="704"/>
    </row>
    <row r="58" spans="1:24" ht="24" customHeight="1" x14ac:dyDescent="0.2">
      <c r="A58" s="773"/>
      <c r="B58" s="773"/>
      <c r="C58" s="773"/>
      <c r="D58" s="773"/>
      <c r="E58" s="773"/>
      <c r="F58" s="772"/>
      <c r="G58" s="652"/>
      <c r="H58" s="594"/>
      <c r="I58" s="674"/>
      <c r="M58" s="691"/>
      <c r="N58" s="1007" t="s">
        <v>381</v>
      </c>
      <c r="O58" s="1008" t="s">
        <v>168</v>
      </c>
      <c r="P58" s="1273">
        <v>46169</v>
      </c>
      <c r="Q58" s="1275" t="s">
        <v>229</v>
      </c>
      <c r="R58" s="997"/>
      <c r="S58" s="721"/>
      <c r="T58" s="64"/>
      <c r="U58" s="704"/>
      <c r="V58" s="722"/>
      <c r="W58" s="723"/>
      <c r="X58" s="704"/>
    </row>
    <row r="59" spans="1:24" ht="24" customHeight="1" x14ac:dyDescent="0.2">
      <c r="A59" s="772"/>
      <c r="B59" s="772"/>
      <c r="C59" s="772"/>
      <c r="D59" s="772"/>
      <c r="E59" s="772"/>
      <c r="F59" s="772"/>
      <c r="G59" s="652"/>
      <c r="M59" s="691"/>
      <c r="N59" s="1007" t="s">
        <v>382</v>
      </c>
      <c r="O59" s="1008" t="s">
        <v>289</v>
      </c>
      <c r="P59" s="1274" t="s">
        <v>324</v>
      </c>
      <c r="Q59" s="1276" t="s">
        <v>229</v>
      </c>
      <c r="R59" s="997"/>
      <c r="S59" s="721"/>
      <c r="T59" s="64"/>
      <c r="U59" s="704"/>
      <c r="V59" s="722"/>
      <c r="W59" s="723"/>
      <c r="X59" s="704"/>
    </row>
    <row r="60" spans="1:24" ht="24" customHeight="1" x14ac:dyDescent="0.2">
      <c r="A60" s="772"/>
      <c r="B60" s="772"/>
      <c r="C60" s="772"/>
      <c r="D60" s="772"/>
      <c r="E60" s="772"/>
      <c r="F60" s="772"/>
      <c r="G60" s="594"/>
      <c r="H60" s="594"/>
      <c r="M60" s="691"/>
      <c r="N60" s="1009" t="s">
        <v>281</v>
      </c>
      <c r="O60" s="1010" t="s">
        <v>168</v>
      </c>
      <c r="P60" s="1277">
        <v>46170</v>
      </c>
      <c r="Q60" s="1279" t="s">
        <v>229</v>
      </c>
      <c r="R60" s="997"/>
      <c r="S60" s="721"/>
      <c r="T60" s="64"/>
      <c r="U60" s="704"/>
      <c r="V60" s="722"/>
      <c r="W60" s="723"/>
      <c r="X60" s="704"/>
    </row>
    <row r="61" spans="1:24" ht="24" customHeight="1" x14ac:dyDescent="0.2">
      <c r="A61" s="772"/>
      <c r="B61" s="772"/>
      <c r="C61" s="772"/>
      <c r="D61" s="772"/>
      <c r="E61" s="772"/>
      <c r="F61" s="772"/>
      <c r="G61" s="652"/>
      <c r="M61" s="691"/>
      <c r="N61" s="1015" t="s">
        <v>233</v>
      </c>
      <c r="O61" s="1010" t="s">
        <v>289</v>
      </c>
      <c r="P61" s="1278" t="s">
        <v>325</v>
      </c>
      <c r="Q61" s="1280" t="s">
        <v>229</v>
      </c>
      <c r="R61" s="997"/>
      <c r="S61" s="721"/>
      <c r="T61" s="64"/>
      <c r="U61" s="704"/>
      <c r="V61" s="722"/>
      <c r="W61" s="723"/>
      <c r="X61" s="704"/>
    </row>
    <row r="62" spans="1:24" ht="24" customHeight="1" x14ac:dyDescent="0.2">
      <c r="A62" s="772"/>
      <c r="B62" s="772"/>
      <c r="C62" s="772"/>
      <c r="D62" s="772"/>
      <c r="E62" s="772"/>
      <c r="F62" s="772"/>
      <c r="G62" s="652"/>
      <c r="M62" s="691"/>
      <c r="N62" s="1007" t="s">
        <v>269</v>
      </c>
      <c r="O62" s="1008" t="s">
        <v>168</v>
      </c>
      <c r="P62" s="1273">
        <v>46171</v>
      </c>
      <c r="Q62" s="1275" t="s">
        <v>229</v>
      </c>
      <c r="R62" s="997"/>
      <c r="S62" s="721"/>
      <c r="T62" s="64"/>
      <c r="U62" s="704"/>
      <c r="V62" s="722"/>
      <c r="W62" s="723"/>
      <c r="X62" s="704"/>
    </row>
    <row r="63" spans="1:24" ht="24" customHeight="1" x14ac:dyDescent="0.2">
      <c r="A63" s="772"/>
      <c r="B63" s="772"/>
      <c r="C63" s="772"/>
      <c r="D63" s="772"/>
      <c r="E63" s="772"/>
      <c r="F63" s="772"/>
      <c r="G63" s="652"/>
      <c r="M63" s="691"/>
      <c r="N63" s="1014" t="s">
        <v>368</v>
      </c>
      <c r="O63" s="1008" t="s">
        <v>289</v>
      </c>
      <c r="P63" s="1274" t="s">
        <v>346</v>
      </c>
      <c r="Q63" s="1276" t="s">
        <v>229</v>
      </c>
      <c r="R63" s="997"/>
      <c r="S63" s="1003"/>
      <c r="T63" s="64"/>
      <c r="U63" s="704"/>
      <c r="V63" s="722"/>
      <c r="W63" s="723"/>
      <c r="X63" s="704"/>
    </row>
    <row r="64" spans="1:24" ht="24" customHeight="1" x14ac:dyDescent="0.2">
      <c r="A64" s="772"/>
      <c r="B64" s="772"/>
      <c r="C64" s="772"/>
      <c r="D64" s="772"/>
      <c r="E64" s="772"/>
      <c r="F64" s="772"/>
      <c r="G64" s="597"/>
      <c r="H64" s="597"/>
      <c r="M64" s="581"/>
      <c r="N64" s="1009" t="s">
        <v>156</v>
      </c>
      <c r="O64" s="1010" t="s">
        <v>168</v>
      </c>
      <c r="P64" s="1277">
        <v>46172</v>
      </c>
      <c r="Q64" s="1279" t="s">
        <v>229</v>
      </c>
      <c r="R64" s="731"/>
      <c r="S64" s="721"/>
      <c r="T64" s="64"/>
      <c r="U64" s="704"/>
      <c r="V64" s="722"/>
      <c r="W64" s="723"/>
      <c r="X64" s="704"/>
    </row>
    <row r="65" spans="1:24" ht="24" customHeight="1" x14ac:dyDescent="0.2">
      <c r="A65" s="772"/>
      <c r="B65" s="772"/>
      <c r="C65" s="772"/>
      <c r="D65" s="772"/>
      <c r="E65" s="772"/>
      <c r="F65" s="772"/>
      <c r="G65" s="652"/>
      <c r="H65" s="652"/>
      <c r="M65" s="581"/>
      <c r="N65" s="1015" t="s">
        <v>368</v>
      </c>
      <c r="O65" s="1010" t="s">
        <v>289</v>
      </c>
      <c r="P65" s="1278" t="s">
        <v>347</v>
      </c>
      <c r="Q65" s="1280" t="s">
        <v>229</v>
      </c>
      <c r="R65" s="731"/>
      <c r="S65" s="721"/>
      <c r="T65" s="64"/>
      <c r="U65" s="704"/>
      <c r="V65" s="722"/>
      <c r="W65" s="723"/>
      <c r="X65" s="704"/>
    </row>
    <row r="66" spans="1:24" ht="24" customHeight="1" x14ac:dyDescent="0.2">
      <c r="A66" s="772"/>
      <c r="B66" s="772"/>
      <c r="C66" s="772"/>
      <c r="D66" s="772"/>
      <c r="E66" s="772"/>
      <c r="F66" s="772"/>
      <c r="G66" s="652"/>
      <c r="H66" s="652"/>
      <c r="M66" s="581"/>
      <c r="N66" s="1007" t="s">
        <v>352</v>
      </c>
      <c r="O66" s="1008" t="s">
        <v>168</v>
      </c>
      <c r="P66" s="1273">
        <v>46173</v>
      </c>
      <c r="Q66" s="1275" t="s">
        <v>229</v>
      </c>
      <c r="R66" s="739"/>
      <c r="S66" s="721"/>
      <c r="T66" s="64"/>
      <c r="U66" s="704"/>
      <c r="V66" s="722"/>
      <c r="W66" s="723"/>
      <c r="X66" s="704"/>
    </row>
    <row r="67" spans="1:24" ht="24" customHeight="1" x14ac:dyDescent="0.2">
      <c r="A67" s="772"/>
      <c r="B67" s="772"/>
      <c r="C67" s="772"/>
      <c r="D67" s="772"/>
      <c r="E67" s="772"/>
      <c r="F67" s="772"/>
      <c r="G67" s="1297"/>
      <c r="H67" s="1297"/>
      <c r="I67" s="679"/>
      <c r="J67" s="679"/>
      <c r="K67" s="679"/>
      <c r="L67" s="679"/>
      <c r="M67" s="581"/>
      <c r="N67" s="1007" t="s">
        <v>383</v>
      </c>
      <c r="O67" s="1008" t="s">
        <v>289</v>
      </c>
      <c r="P67" s="1274" t="s">
        <v>363</v>
      </c>
      <c r="Q67" s="1276" t="s">
        <v>229</v>
      </c>
      <c r="R67" s="739"/>
      <c r="S67" s="721"/>
      <c r="T67" s="64"/>
      <c r="U67" s="704"/>
      <c r="V67" s="722"/>
      <c r="W67" s="723"/>
      <c r="X67" s="704"/>
    </row>
    <row r="68" spans="1:24" ht="24" customHeight="1" x14ac:dyDescent="0.2">
      <c r="A68" s="772"/>
      <c r="B68" s="772"/>
      <c r="C68" s="772"/>
      <c r="D68" s="772"/>
      <c r="E68" s="772"/>
      <c r="F68" s="772"/>
      <c r="G68" s="1297"/>
      <c r="H68" s="1297"/>
      <c r="I68" s="679"/>
      <c r="J68" s="679"/>
      <c r="K68" s="679"/>
      <c r="L68" s="679"/>
      <c r="M68" s="581"/>
      <c r="N68" s="1332"/>
      <c r="O68" s="1333"/>
      <c r="P68" s="1333"/>
      <c r="Q68" s="1334"/>
      <c r="R68" s="739"/>
      <c r="S68" s="721"/>
      <c r="T68" s="64"/>
      <c r="U68" s="704"/>
      <c r="V68" s="722"/>
      <c r="W68" s="723"/>
      <c r="X68" s="704"/>
    </row>
    <row r="69" spans="1:24" ht="24" customHeight="1" thickBot="1" x14ac:dyDescent="0.25">
      <c r="A69" s="772"/>
      <c r="B69" s="772"/>
      <c r="C69" s="772"/>
      <c r="D69" s="772"/>
      <c r="E69" s="772"/>
      <c r="F69" s="772"/>
      <c r="G69" s="652"/>
      <c r="M69" s="581"/>
      <c r="N69" s="1335"/>
      <c r="O69" s="1336"/>
      <c r="P69" s="1336"/>
      <c r="Q69" s="1337"/>
      <c r="R69" s="739"/>
      <c r="S69" s="721"/>
      <c r="T69" s="64"/>
      <c r="U69" s="704"/>
      <c r="V69" s="722"/>
      <c r="W69" s="723"/>
      <c r="X69" s="704"/>
    </row>
    <row r="70" spans="1:24" ht="24" customHeight="1" thickBot="1" x14ac:dyDescent="0.25">
      <c r="A70" s="772"/>
      <c r="B70" s="772"/>
      <c r="C70" s="772"/>
      <c r="D70" s="772"/>
      <c r="E70" s="772"/>
      <c r="F70" s="772"/>
      <c r="G70" s="652"/>
      <c r="M70" s="581"/>
      <c r="N70" s="998"/>
      <c r="O70" s="999"/>
      <c r="P70" s="1000"/>
      <c r="Q70" s="1001"/>
      <c r="R70" s="783"/>
      <c r="S70" s="783"/>
      <c r="T70" s="783"/>
      <c r="U70" s="704"/>
      <c r="V70" s="722"/>
      <c r="W70" s="723"/>
      <c r="X70" s="704"/>
    </row>
    <row r="71" spans="1:24" ht="24" customHeight="1" x14ac:dyDescent="0.2">
      <c r="A71" s="772"/>
      <c r="B71" s="772"/>
      <c r="C71" s="772"/>
      <c r="D71" s="772"/>
      <c r="E71" s="772"/>
      <c r="F71" s="772"/>
      <c r="G71" s="652"/>
      <c r="M71" s="581"/>
      <c r="N71" s="1319" t="s">
        <v>290</v>
      </c>
      <c r="O71" s="1319"/>
      <c r="P71" s="1319"/>
      <c r="Q71" s="1319"/>
      <c r="R71" s="1319"/>
      <c r="S71" s="1319"/>
      <c r="T71" s="1319"/>
      <c r="U71" s="1319"/>
      <c r="V71" s="643"/>
      <c r="W71" s="642"/>
      <c r="X71" s="643"/>
    </row>
    <row r="72" spans="1:24" ht="24" customHeight="1" x14ac:dyDescent="0.2">
      <c r="A72" s="772"/>
      <c r="B72" s="772"/>
      <c r="C72" s="772"/>
      <c r="D72" s="772"/>
      <c r="E72" s="772"/>
      <c r="F72" s="772"/>
      <c r="G72" s="652"/>
      <c r="M72" s="581"/>
      <c r="N72" s="643"/>
      <c r="O72" s="581"/>
      <c r="P72" s="678"/>
    </row>
    <row r="73" spans="1:24" ht="24" customHeight="1" x14ac:dyDescent="0.25">
      <c r="A73" s="692"/>
      <c r="B73" s="692"/>
      <c r="C73" s="599"/>
      <c r="D73" s="698"/>
      <c r="E73" s="702"/>
      <c r="F73" s="581"/>
      <c r="G73" s="652"/>
      <c r="H73" s="681"/>
      <c r="I73" s="681"/>
      <c r="J73" s="681"/>
      <c r="K73" s="681"/>
      <c r="L73" s="681"/>
      <c r="M73" s="581"/>
      <c r="N73" s="643"/>
      <c r="O73" s="581"/>
      <c r="P73" s="678"/>
    </row>
    <row r="74" spans="1:24" ht="24" customHeight="1" x14ac:dyDescent="0.25">
      <c r="A74" s="693"/>
      <c r="B74" s="693"/>
      <c r="C74" s="694"/>
      <c r="D74" s="696"/>
      <c r="E74" s="695"/>
      <c r="F74" s="581"/>
      <c r="G74" s="652"/>
      <c r="H74" s="675"/>
      <c r="I74" s="675"/>
      <c r="J74" s="675"/>
      <c r="K74" s="675"/>
      <c r="L74" s="675"/>
      <c r="M74" s="581"/>
      <c r="N74" s="643"/>
      <c r="O74" s="581"/>
      <c r="P74" s="678"/>
    </row>
    <row r="75" spans="1:24" ht="24" customHeight="1" x14ac:dyDescent="0.2">
      <c r="A75" s="693"/>
      <c r="B75" s="693"/>
      <c r="C75" s="1285"/>
      <c r="D75" s="697"/>
      <c r="E75" s="1173"/>
      <c r="F75" s="581"/>
      <c r="G75" s="652"/>
      <c r="M75" s="581"/>
      <c r="N75" s="643"/>
      <c r="O75" s="581"/>
      <c r="P75" s="678"/>
    </row>
    <row r="76" spans="1:24" ht="24" customHeight="1" x14ac:dyDescent="0.2">
      <c r="A76" s="693"/>
      <c r="B76" s="693"/>
      <c r="C76" s="1285"/>
      <c r="D76" s="690"/>
      <c r="E76" s="1173"/>
      <c r="F76" s="581"/>
      <c r="G76" s="1296"/>
      <c r="H76" s="1297"/>
      <c r="M76" s="581"/>
      <c r="N76" s="643"/>
      <c r="O76" s="581"/>
      <c r="P76" s="678"/>
    </row>
    <row r="77" spans="1:24" ht="24" customHeight="1" x14ac:dyDescent="0.2">
      <c r="A77" s="693"/>
      <c r="B77" s="693"/>
      <c r="C77" s="1285"/>
      <c r="D77" s="690"/>
      <c r="E77" s="1173"/>
      <c r="F77" s="581"/>
      <c r="G77" s="1296"/>
      <c r="H77" s="1297"/>
      <c r="M77" s="581"/>
      <c r="N77" s="643"/>
      <c r="O77" s="581"/>
      <c r="P77" s="581"/>
    </row>
    <row r="78" spans="1:24" ht="24" customHeight="1" x14ac:dyDescent="0.2">
      <c r="A78" s="693"/>
      <c r="B78" s="693"/>
      <c r="C78" s="1285"/>
      <c r="D78" s="690"/>
      <c r="E78" s="1173"/>
      <c r="F78" s="581"/>
      <c r="G78" s="652"/>
      <c r="M78" s="643"/>
      <c r="N78" s="643"/>
      <c r="O78" s="581"/>
      <c r="P78" s="601"/>
    </row>
    <row r="79" spans="1:24" ht="24" customHeight="1" x14ac:dyDescent="0.2">
      <c r="A79" s="693"/>
      <c r="B79" s="693"/>
      <c r="C79" s="1285"/>
      <c r="D79" s="698"/>
      <c r="E79" s="1173"/>
      <c r="F79" s="581"/>
      <c r="G79" s="652"/>
      <c r="H79" s="1258"/>
      <c r="I79" s="1299"/>
      <c r="J79" s="601"/>
      <c r="K79" s="601"/>
      <c r="L79" s="601"/>
      <c r="M79" s="643"/>
      <c r="N79" s="643"/>
      <c r="O79" s="581"/>
      <c r="P79" s="601"/>
    </row>
    <row r="80" spans="1:24" ht="24" customHeight="1" x14ac:dyDescent="0.2">
      <c r="A80" s="648"/>
      <c r="B80" s="670"/>
      <c r="C80" s="599"/>
      <c r="D80" s="1318"/>
      <c r="E80" s="1287"/>
      <c r="F80" s="581"/>
      <c r="G80" s="652"/>
      <c r="H80" s="1258"/>
      <c r="I80" s="1299"/>
      <c r="J80" s="641"/>
      <c r="K80" s="641"/>
      <c r="L80" s="641"/>
      <c r="M80" s="643"/>
      <c r="N80" s="643"/>
      <c r="O80" s="581"/>
      <c r="P80" s="601"/>
    </row>
    <row r="81" spans="1:16" ht="24" customHeight="1" x14ac:dyDescent="0.2">
      <c r="A81" s="616"/>
      <c r="B81" s="625"/>
      <c r="C81" s="599"/>
      <c r="D81" s="1318"/>
      <c r="E81" s="1287"/>
      <c r="F81" s="581"/>
      <c r="G81" s="652"/>
      <c r="H81" s="184"/>
      <c r="I81" s="63"/>
      <c r="J81" s="641"/>
      <c r="K81" s="641"/>
      <c r="L81" s="641"/>
      <c r="M81" s="643"/>
      <c r="N81" s="643"/>
      <c r="O81" s="581"/>
      <c r="P81" s="601"/>
    </row>
    <row r="82" spans="1:16" ht="24" customHeight="1" thickBot="1" x14ac:dyDescent="0.25">
      <c r="A82" s="668"/>
      <c r="B82" s="677"/>
      <c r="C82" s="672"/>
      <c r="D82" s="1295"/>
      <c r="E82" s="1288"/>
      <c r="F82" s="581"/>
      <c r="G82" s="652"/>
      <c r="H82" s="661"/>
      <c r="I82" s="661"/>
      <c r="J82" s="661"/>
      <c r="K82" s="661"/>
      <c r="L82" s="661"/>
      <c r="M82" s="643"/>
      <c r="N82" s="643"/>
      <c r="P82" s="601"/>
    </row>
    <row r="83" spans="1:16" ht="24" customHeight="1" x14ac:dyDescent="0.2">
      <c r="A83" s="626"/>
      <c r="B83" s="613"/>
      <c r="C83" s="605"/>
      <c r="D83" s="1294"/>
      <c r="E83" s="1298"/>
      <c r="G83" s="652"/>
      <c r="H83" s="661"/>
      <c r="I83" s="661"/>
      <c r="J83" s="661"/>
      <c r="K83" s="661"/>
      <c r="L83" s="661"/>
      <c r="M83" s="643"/>
      <c r="N83" s="680"/>
      <c r="O83" s="680"/>
      <c r="P83" s="601"/>
    </row>
    <row r="84" spans="1:16" ht="24" customHeight="1" thickBot="1" x14ac:dyDescent="0.25">
      <c r="A84" s="623"/>
      <c r="B84" s="624"/>
      <c r="C84" s="672"/>
      <c r="D84" s="1295"/>
      <c r="E84" s="1288"/>
      <c r="G84" s="652"/>
      <c r="H84" s="661"/>
      <c r="I84" s="661"/>
      <c r="J84" s="661"/>
      <c r="K84" s="661"/>
      <c r="L84" s="661"/>
      <c r="M84" s="680"/>
      <c r="N84" s="680"/>
      <c r="O84" s="680"/>
      <c r="P84" s="652"/>
    </row>
    <row r="85" spans="1:16" ht="24" customHeight="1" thickBot="1" x14ac:dyDescent="0.25">
      <c r="A85" s="626"/>
      <c r="B85" s="645"/>
      <c r="C85" s="605"/>
      <c r="D85" s="1294"/>
      <c r="E85" s="1292"/>
      <c r="G85" s="652"/>
      <c r="H85" s="661"/>
      <c r="I85" s="661"/>
      <c r="J85" s="661"/>
      <c r="K85" s="661"/>
      <c r="L85" s="661"/>
      <c r="M85" s="680"/>
      <c r="N85" s="643"/>
      <c r="O85" s="581"/>
      <c r="P85" s="652"/>
    </row>
    <row r="86" spans="1:16" ht="24" customHeight="1" thickBot="1" x14ac:dyDescent="0.25">
      <c r="A86" s="623"/>
      <c r="B86" s="645"/>
      <c r="C86" s="672"/>
      <c r="D86" s="1295"/>
      <c r="E86" s="1293"/>
      <c r="G86" s="652"/>
      <c r="H86" s="661"/>
      <c r="I86" s="661"/>
      <c r="J86" s="661"/>
      <c r="K86" s="661"/>
      <c r="L86" s="661"/>
      <c r="M86" s="643"/>
      <c r="N86" s="1286"/>
      <c r="O86" s="581"/>
      <c r="P86" s="652"/>
    </row>
    <row r="87" spans="1:16" ht="24" customHeight="1" x14ac:dyDescent="0.2">
      <c r="A87" s="626"/>
      <c r="B87" s="613"/>
      <c r="C87" s="605"/>
      <c r="D87" s="1294"/>
      <c r="E87" s="1292"/>
      <c r="G87" s="652"/>
      <c r="H87" s="594"/>
      <c r="I87" s="594"/>
      <c r="J87" s="661"/>
      <c r="K87" s="661"/>
      <c r="L87" s="661"/>
      <c r="M87" s="1286"/>
      <c r="N87" s="1286"/>
      <c r="O87" s="581"/>
      <c r="P87" s="652"/>
    </row>
    <row r="88" spans="1:16" ht="24" customHeight="1" thickBot="1" x14ac:dyDescent="0.25">
      <c r="A88" s="623"/>
      <c r="B88" s="624"/>
      <c r="C88" s="682"/>
      <c r="D88" s="1295"/>
      <c r="E88" s="1293"/>
      <c r="G88" s="652"/>
      <c r="H88" s="661"/>
      <c r="I88" s="661"/>
      <c r="J88" s="661"/>
      <c r="K88" s="661"/>
      <c r="L88" s="661"/>
      <c r="M88" s="1286"/>
      <c r="N88" s="643"/>
      <c r="O88" s="581"/>
      <c r="P88" s="601"/>
    </row>
    <row r="89" spans="1:16" ht="24" customHeight="1" thickBot="1" x14ac:dyDescent="0.25">
      <c r="A89" s="685"/>
      <c r="B89" s="651"/>
      <c r="C89" s="682"/>
      <c r="D89" s="644"/>
      <c r="E89" s="686"/>
      <c r="G89" s="652"/>
      <c r="H89" s="661"/>
      <c r="I89" s="661"/>
      <c r="J89" s="661"/>
      <c r="K89" s="661"/>
      <c r="L89" s="661"/>
      <c r="M89" s="643"/>
      <c r="N89" s="1286"/>
      <c r="O89" s="581"/>
      <c r="P89" s="601"/>
    </row>
    <row r="90" spans="1:16" ht="24" customHeight="1" x14ac:dyDescent="0.2">
      <c r="A90" s="604"/>
      <c r="B90" s="683"/>
      <c r="C90" s="683"/>
      <c r="D90" s="1294"/>
      <c r="E90" s="1300"/>
      <c r="G90" s="652"/>
      <c r="J90" s="601"/>
      <c r="K90" s="601"/>
      <c r="L90" s="601"/>
      <c r="N90" s="1286"/>
      <c r="O90" s="581"/>
      <c r="P90" s="601"/>
    </row>
    <row r="91" spans="1:16" ht="24" customHeight="1" thickBot="1" x14ac:dyDescent="0.25">
      <c r="A91" s="623"/>
      <c r="B91" s="624"/>
      <c r="C91" s="684"/>
      <c r="D91" s="1295"/>
      <c r="E91" s="1301"/>
      <c r="G91" s="652"/>
      <c r="J91" s="601"/>
      <c r="K91" s="601"/>
      <c r="L91" s="601"/>
      <c r="M91" s="643"/>
      <c r="N91" s="1286"/>
      <c r="O91" s="581"/>
      <c r="P91" s="601"/>
    </row>
    <row r="92" spans="1:16" ht="24" customHeight="1" x14ac:dyDescent="0.2">
      <c r="A92" s="648"/>
      <c r="B92" s="625"/>
      <c r="C92" s="1290"/>
      <c r="D92" s="1318"/>
      <c r="E92" s="1287"/>
      <c r="G92" s="652"/>
      <c r="J92" s="601"/>
      <c r="K92" s="601"/>
      <c r="L92" s="601"/>
      <c r="N92" s="1286"/>
      <c r="O92" s="581"/>
      <c r="P92" s="601"/>
    </row>
    <row r="93" spans="1:16" ht="24" customHeight="1" x14ac:dyDescent="0.2">
      <c r="A93" s="687"/>
      <c r="B93" s="625"/>
      <c r="C93" s="1290"/>
      <c r="D93" s="1318"/>
      <c r="E93" s="1287"/>
      <c r="G93" s="652"/>
      <c r="J93" s="601"/>
      <c r="K93" s="601"/>
      <c r="L93" s="601"/>
      <c r="N93" s="643"/>
      <c r="O93" s="581"/>
      <c r="P93" s="601"/>
    </row>
    <row r="94" spans="1:16" ht="24" customHeight="1" thickBot="1" x14ac:dyDescent="0.25">
      <c r="A94" s="616"/>
      <c r="B94" s="625"/>
      <c r="C94" s="1291"/>
      <c r="D94" s="1295"/>
      <c r="E94" s="1288"/>
      <c r="G94" s="652"/>
      <c r="H94" s="612"/>
      <c r="I94" s="612"/>
      <c r="J94" s="601"/>
      <c r="K94" s="601"/>
      <c r="L94" s="601"/>
      <c r="M94" s="643"/>
      <c r="N94" s="643"/>
      <c r="O94" s="581"/>
      <c r="P94" s="601"/>
    </row>
    <row r="95" spans="1:16" ht="24" customHeight="1" thickBot="1" x14ac:dyDescent="0.25">
      <c r="A95" s="626"/>
      <c r="B95" s="624"/>
      <c r="C95" s="1289"/>
      <c r="D95" s="1294"/>
      <c r="E95" s="630"/>
      <c r="G95" s="652"/>
      <c r="H95" s="612"/>
      <c r="I95" s="612"/>
      <c r="J95" s="601"/>
      <c r="K95" s="601"/>
      <c r="L95" s="601"/>
      <c r="M95" s="643"/>
      <c r="N95" s="581"/>
      <c r="O95" s="581"/>
      <c r="P95" s="601"/>
    </row>
    <row r="96" spans="1:16" ht="24" customHeight="1" thickBot="1" x14ac:dyDescent="0.25">
      <c r="A96" s="687"/>
      <c r="B96" s="645"/>
      <c r="C96" s="1290"/>
      <c r="D96" s="1318"/>
      <c r="E96" s="688"/>
      <c r="G96" s="652"/>
      <c r="H96" s="612"/>
      <c r="I96" s="612"/>
      <c r="J96" s="601"/>
      <c r="K96" s="601"/>
      <c r="L96" s="601"/>
      <c r="M96" s="581"/>
      <c r="N96" s="680"/>
      <c r="O96" s="680"/>
      <c r="P96" s="601"/>
    </row>
    <row r="97" spans="1:16" ht="24" customHeight="1" thickBot="1" x14ac:dyDescent="0.25">
      <c r="A97" s="623"/>
      <c r="B97" s="645"/>
      <c r="C97" s="1291"/>
      <c r="D97" s="1295"/>
      <c r="E97" s="627"/>
      <c r="G97" s="652"/>
      <c r="H97" s="612"/>
      <c r="I97" s="612"/>
      <c r="J97" s="601"/>
      <c r="K97" s="601"/>
      <c r="L97" s="601"/>
      <c r="M97" s="680"/>
      <c r="N97" s="642"/>
      <c r="O97" s="1338"/>
      <c r="P97" s="652"/>
    </row>
    <row r="98" spans="1:16" ht="24" customHeight="1" thickBot="1" x14ac:dyDescent="0.25">
      <c r="A98" s="623"/>
      <c r="B98" s="624"/>
      <c r="C98" s="606"/>
      <c r="D98" s="628"/>
      <c r="E98" s="627"/>
      <c r="G98" s="652"/>
      <c r="H98" s="612"/>
      <c r="I98" s="612"/>
      <c r="J98" s="601"/>
      <c r="K98" s="601"/>
      <c r="L98" s="601"/>
      <c r="M98" s="581"/>
      <c r="N98" s="642"/>
      <c r="O98" s="1338"/>
      <c r="P98" s="652"/>
    </row>
    <row r="99" spans="1:16" ht="24" customHeight="1" thickBot="1" x14ac:dyDescent="0.25">
      <c r="A99" s="623"/>
      <c r="B99" s="624"/>
      <c r="C99" s="598"/>
      <c r="D99" s="628"/>
      <c r="E99" s="673"/>
      <c r="G99" s="652"/>
      <c r="H99" s="612"/>
      <c r="I99" s="612"/>
      <c r="J99" s="601"/>
      <c r="K99" s="601"/>
      <c r="L99" s="601"/>
      <c r="M99" s="581"/>
      <c r="N99" s="642"/>
      <c r="O99" s="1338"/>
      <c r="P99" s="652"/>
    </row>
    <row r="100" spans="1:16" ht="24" customHeight="1" x14ac:dyDescent="0.2">
      <c r="A100" s="626"/>
      <c r="B100" s="613"/>
      <c r="C100" s="605"/>
      <c r="D100" s="1294"/>
      <c r="E100" s="1298"/>
      <c r="G100" s="652"/>
      <c r="H100" s="671"/>
      <c r="I100" s="671"/>
      <c r="J100" s="671"/>
      <c r="K100" s="671"/>
      <c r="L100" s="671"/>
      <c r="N100" s="642"/>
      <c r="O100" s="1338"/>
      <c r="P100" s="652"/>
    </row>
    <row r="101" spans="1:16" ht="24" customHeight="1" thickBot="1" x14ac:dyDescent="0.25">
      <c r="A101" s="623"/>
      <c r="B101" s="624"/>
      <c r="C101" s="606"/>
      <c r="D101" s="1295"/>
      <c r="E101" s="1288"/>
      <c r="G101" s="652"/>
      <c r="H101" s="667"/>
      <c r="I101" s="667"/>
      <c r="J101" s="667"/>
      <c r="K101" s="667"/>
      <c r="L101" s="667"/>
      <c r="N101" s="642"/>
      <c r="O101" s="1338"/>
      <c r="P101" s="652"/>
    </row>
    <row r="102" spans="1:16" ht="24" customHeight="1" thickBot="1" x14ac:dyDescent="0.25">
      <c r="A102" s="614"/>
      <c r="B102" s="645"/>
      <c r="C102" s="598"/>
      <c r="D102" s="602"/>
      <c r="E102" s="673"/>
      <c r="G102" s="652"/>
      <c r="H102" s="667"/>
      <c r="I102" s="667"/>
      <c r="J102" s="667"/>
      <c r="K102" s="667"/>
      <c r="L102" s="667"/>
      <c r="N102" s="642"/>
      <c r="O102" s="1338"/>
      <c r="P102" s="652"/>
    </row>
    <row r="103" spans="1:16" ht="24" customHeight="1" thickBot="1" x14ac:dyDescent="0.25">
      <c r="A103" s="614"/>
      <c r="B103" s="645"/>
      <c r="C103" s="598"/>
      <c r="D103" s="602"/>
      <c r="E103" s="673"/>
      <c r="G103" s="652"/>
      <c r="H103" s="612"/>
      <c r="I103" s="612"/>
      <c r="J103" s="601"/>
      <c r="K103" s="601"/>
      <c r="L103" s="601"/>
      <c r="M103" s="601"/>
      <c r="N103" s="601"/>
      <c r="O103" s="601"/>
      <c r="P103" s="601"/>
    </row>
    <row r="104" spans="1:16" ht="24" customHeight="1" x14ac:dyDescent="0.2">
      <c r="A104" s="626"/>
      <c r="B104" s="613"/>
      <c r="C104" s="605"/>
      <c r="D104" s="1294"/>
      <c r="E104" s="1298"/>
      <c r="G104" s="652"/>
      <c r="H104" s="669"/>
      <c r="I104" s="669"/>
      <c r="J104" s="601"/>
      <c r="K104" s="601"/>
      <c r="L104" s="601"/>
      <c r="M104" s="601"/>
    </row>
    <row r="105" spans="1:16" ht="24" customHeight="1" thickBot="1" x14ac:dyDescent="0.25">
      <c r="A105" s="1324"/>
      <c r="B105" s="1325"/>
      <c r="C105" s="682"/>
      <c r="D105" s="1295"/>
      <c r="E105" s="1288"/>
      <c r="G105" s="652"/>
    </row>
    <row r="106" spans="1:16" ht="24" customHeight="1" thickBot="1" x14ac:dyDescent="0.25">
      <c r="A106" s="614"/>
      <c r="B106" s="645"/>
      <c r="C106" s="598"/>
      <c r="D106" s="602"/>
      <c r="E106" s="611"/>
      <c r="G106" s="652"/>
    </row>
    <row r="107" spans="1:16" ht="24" customHeight="1" thickBot="1" x14ac:dyDescent="0.25">
      <c r="A107" s="614"/>
      <c r="B107" s="645"/>
      <c r="C107" s="598"/>
      <c r="D107" s="602"/>
      <c r="E107" s="611"/>
      <c r="G107" s="652"/>
    </row>
    <row r="108" spans="1:16" ht="24" customHeight="1" thickBot="1" x14ac:dyDescent="0.25">
      <c r="A108" s="616"/>
      <c r="B108" s="624"/>
      <c r="C108" s="598"/>
      <c r="D108" s="615"/>
      <c r="E108" s="627"/>
      <c r="G108" s="652"/>
    </row>
    <row r="109" spans="1:16" ht="24.75" customHeight="1" thickBot="1" x14ac:dyDescent="0.25">
      <c r="A109" s="614"/>
      <c r="B109" s="645"/>
      <c r="C109" s="598"/>
      <c r="D109" s="602"/>
      <c r="E109" s="611"/>
      <c r="F109" s="592"/>
      <c r="G109" s="652"/>
    </row>
    <row r="110" spans="1:16" ht="24.75" customHeight="1" thickBot="1" x14ac:dyDescent="0.25">
      <c r="A110" s="614"/>
      <c r="B110" s="645"/>
      <c r="C110" s="598"/>
      <c r="D110" s="602"/>
      <c r="E110" s="611"/>
      <c r="F110" s="592"/>
      <c r="G110" s="652"/>
    </row>
    <row r="111" spans="1:16" ht="24.75" customHeight="1" thickBot="1" x14ac:dyDescent="0.25">
      <c r="A111" s="623"/>
      <c r="B111" s="624"/>
      <c r="C111" s="598"/>
      <c r="D111" s="602"/>
      <c r="E111" s="611"/>
      <c r="F111" s="592"/>
      <c r="G111" s="652"/>
    </row>
    <row r="112" spans="1:16" ht="24.75" customHeight="1" thickBot="1" x14ac:dyDescent="0.25">
      <c r="A112" s="623"/>
      <c r="B112" s="645"/>
      <c r="C112" s="598"/>
      <c r="D112" s="602"/>
      <c r="E112" s="611"/>
      <c r="F112" s="592"/>
      <c r="G112" s="652"/>
    </row>
    <row r="113" spans="1:12" ht="24.75" customHeight="1" thickBot="1" x14ac:dyDescent="0.25">
      <c r="A113" s="614"/>
      <c r="B113" s="645"/>
      <c r="C113" s="598"/>
      <c r="D113" s="602"/>
      <c r="E113" s="611"/>
      <c r="F113" s="592"/>
      <c r="G113" s="652"/>
    </row>
    <row r="114" spans="1:12" ht="24" customHeight="1" x14ac:dyDescent="0.2">
      <c r="A114" s="626"/>
      <c r="B114" s="613"/>
      <c r="C114" s="605"/>
      <c r="D114" s="1294"/>
      <c r="E114" s="1298"/>
      <c r="G114" s="652"/>
    </row>
    <row r="115" spans="1:12" ht="24" customHeight="1" thickBot="1" x14ac:dyDescent="0.25">
      <c r="A115" s="623"/>
      <c r="B115" s="624"/>
      <c r="C115" s="606"/>
      <c r="D115" s="1295"/>
      <c r="E115" s="1288"/>
      <c r="G115" s="652"/>
    </row>
    <row r="116" spans="1:12" ht="24" customHeight="1" x14ac:dyDescent="0.2">
      <c r="A116" s="626"/>
      <c r="B116" s="613"/>
      <c r="C116" s="605"/>
      <c r="D116" s="1294"/>
      <c r="E116" s="1298"/>
      <c r="G116" s="652"/>
    </row>
    <row r="117" spans="1:12" ht="24" customHeight="1" thickBot="1" x14ac:dyDescent="0.25">
      <c r="A117" s="623"/>
      <c r="B117" s="624"/>
      <c r="C117" s="606"/>
      <c r="D117" s="1295"/>
      <c r="E117" s="1288"/>
      <c r="G117" s="652"/>
    </row>
    <row r="118" spans="1:12" ht="24" customHeight="1" thickBot="1" x14ac:dyDescent="0.25">
      <c r="A118" s="623"/>
      <c r="B118" s="624"/>
      <c r="C118" s="598"/>
      <c r="D118" s="602"/>
      <c r="E118" s="611"/>
      <c r="G118" s="652"/>
    </row>
    <row r="119" spans="1:12" ht="24" customHeight="1" x14ac:dyDescent="0.2">
      <c r="A119" s="626"/>
      <c r="B119" s="613"/>
      <c r="C119" s="605"/>
      <c r="D119" s="1294"/>
      <c r="E119" s="1298"/>
      <c r="G119" s="652"/>
    </row>
    <row r="120" spans="1:12" ht="24" customHeight="1" thickBot="1" x14ac:dyDescent="0.25">
      <c r="A120" s="623"/>
      <c r="B120" s="624"/>
      <c r="C120" s="606"/>
      <c r="D120" s="1295"/>
      <c r="E120" s="1288"/>
      <c r="G120" s="652"/>
      <c r="H120" s="1305"/>
      <c r="I120" s="1306"/>
      <c r="J120" s="1306"/>
      <c r="K120" s="1306"/>
      <c r="L120" s="1306"/>
    </row>
    <row r="121" spans="1:12" ht="24" customHeight="1" x14ac:dyDescent="0.2">
      <c r="A121" s="626"/>
      <c r="B121" s="613"/>
      <c r="C121" s="605"/>
      <c r="D121" s="1294"/>
      <c r="E121" s="1298"/>
      <c r="G121" s="650"/>
    </row>
    <row r="122" spans="1:12" ht="24" customHeight="1" thickBot="1" x14ac:dyDescent="0.25">
      <c r="A122" s="668"/>
      <c r="B122" s="625"/>
      <c r="C122" s="606"/>
      <c r="D122" s="1295"/>
      <c r="E122" s="1288"/>
      <c r="G122" s="650"/>
    </row>
    <row r="123" spans="1:12" ht="24" customHeight="1" thickBot="1" x14ac:dyDescent="0.25">
      <c r="A123" s="616"/>
      <c r="B123" s="625"/>
      <c r="C123" s="605"/>
      <c r="D123" s="615"/>
      <c r="E123" s="629"/>
      <c r="G123" s="650"/>
    </row>
    <row r="124" spans="1:12" ht="24" customHeight="1" x14ac:dyDescent="0.2">
      <c r="A124" s="626"/>
      <c r="B124" s="613"/>
      <c r="C124" s="605"/>
      <c r="D124" s="1294"/>
      <c r="E124" s="1298"/>
      <c r="G124" s="650"/>
      <c r="I124" s="1304"/>
      <c r="J124" s="1304"/>
      <c r="K124" s="1304"/>
      <c r="L124" s="1304"/>
    </row>
    <row r="125" spans="1:12" ht="24" customHeight="1" thickBot="1" x14ac:dyDescent="0.25">
      <c r="A125" s="623"/>
      <c r="B125" s="624"/>
      <c r="C125" s="606"/>
      <c r="D125" s="1295"/>
      <c r="E125" s="1288"/>
      <c r="G125" s="650"/>
      <c r="H125" s="1303"/>
      <c r="I125" s="1303"/>
      <c r="J125" s="1303"/>
      <c r="K125" s="1303"/>
      <c r="L125" s="1303"/>
    </row>
    <row r="126" spans="1:12" ht="24" customHeight="1" x14ac:dyDescent="0.2">
      <c r="A126" s="626"/>
      <c r="B126" s="651"/>
      <c r="C126" s="605"/>
      <c r="D126" s="1294"/>
      <c r="E126" s="1298"/>
      <c r="G126" s="650"/>
      <c r="H126" s="661"/>
      <c r="I126" s="661"/>
      <c r="J126" s="661"/>
      <c r="K126" s="661"/>
      <c r="L126" s="661"/>
    </row>
    <row r="127" spans="1:12" ht="24" customHeight="1" thickBot="1" x14ac:dyDescent="0.25">
      <c r="A127" s="623"/>
      <c r="B127" s="624"/>
      <c r="C127" s="606"/>
      <c r="D127" s="1295"/>
      <c r="E127" s="1288"/>
      <c r="G127" s="650"/>
      <c r="H127" s="661"/>
      <c r="I127" s="661"/>
      <c r="J127" s="661"/>
      <c r="K127" s="661"/>
      <c r="L127" s="661"/>
    </row>
    <row r="128" spans="1:12" ht="24" customHeight="1" thickBot="1" x14ac:dyDescent="0.25">
      <c r="A128" s="614"/>
      <c r="B128" s="645"/>
      <c r="C128" s="598"/>
      <c r="D128" s="602"/>
      <c r="E128" s="611"/>
      <c r="G128" s="650"/>
    </row>
    <row r="129" spans="1:16" ht="24" customHeight="1" x14ac:dyDescent="0.2">
      <c r="A129" s="648"/>
      <c r="B129" s="670"/>
      <c r="C129" s="599"/>
      <c r="D129" s="1318"/>
      <c r="E129" s="1287"/>
      <c r="G129" s="650"/>
    </row>
    <row r="130" spans="1:16" ht="24" customHeight="1" x14ac:dyDescent="0.2">
      <c r="A130" s="648"/>
      <c r="B130" s="625"/>
      <c r="C130" s="599"/>
      <c r="D130" s="1318"/>
      <c r="E130" s="1287"/>
      <c r="G130" s="650"/>
    </row>
    <row r="131" spans="1:16" ht="24" customHeight="1" thickBot="1" x14ac:dyDescent="0.25">
      <c r="A131" s="668"/>
      <c r="B131" s="625"/>
      <c r="C131" s="606"/>
      <c r="D131" s="1295"/>
      <c r="E131" s="1288"/>
      <c r="G131" s="650"/>
    </row>
    <row r="132" spans="1:16" ht="24" customHeight="1" thickBot="1" x14ac:dyDescent="0.25">
      <c r="A132" s="616"/>
      <c r="B132" s="625"/>
      <c r="C132" s="605"/>
      <c r="D132" s="615"/>
      <c r="E132" s="629"/>
      <c r="G132" s="659"/>
    </row>
    <row r="133" spans="1:16" ht="24" customHeight="1" thickBot="1" x14ac:dyDescent="0.35">
      <c r="A133" s="626"/>
      <c r="B133" s="613"/>
      <c r="C133" s="605"/>
      <c r="D133" s="1294"/>
      <c r="E133" s="1298"/>
      <c r="G133" s="650"/>
      <c r="H133" s="1339"/>
      <c r="I133" s="1339"/>
      <c r="J133" s="1339"/>
    </row>
    <row r="134" spans="1:16" ht="24" customHeight="1" thickBot="1" x14ac:dyDescent="0.25">
      <c r="A134" s="648"/>
      <c r="B134" s="624"/>
      <c r="C134" s="606"/>
      <c r="D134" s="1295"/>
      <c r="E134" s="1288"/>
      <c r="G134" s="652"/>
      <c r="N134" s="719"/>
      <c r="O134" s="720"/>
    </row>
    <row r="135" spans="1:16" ht="24" customHeight="1" thickBot="1" x14ac:dyDescent="0.25">
      <c r="A135" s="614"/>
      <c r="B135" s="645"/>
      <c r="C135" s="598"/>
      <c r="D135" s="602"/>
      <c r="E135" s="611"/>
      <c r="G135" s="600"/>
      <c r="M135" s="719"/>
      <c r="N135" s="598"/>
      <c r="O135" s="611"/>
      <c r="P135" s="650"/>
    </row>
    <row r="136" spans="1:16" ht="24" customHeight="1" thickBot="1" x14ac:dyDescent="0.25">
      <c r="A136" s="623"/>
      <c r="B136" s="624"/>
      <c r="C136" s="598"/>
      <c r="D136" s="602"/>
      <c r="E136" s="611"/>
      <c r="G136" s="650"/>
      <c r="M136" s="638"/>
      <c r="N136" s="598"/>
      <c r="O136" s="611"/>
      <c r="P136" s="650"/>
    </row>
    <row r="137" spans="1:16" ht="24.75" customHeight="1" thickBot="1" x14ac:dyDescent="0.25">
      <c r="A137" s="614"/>
      <c r="B137" s="645"/>
      <c r="C137" s="598"/>
      <c r="D137" s="602"/>
      <c r="E137" s="611"/>
      <c r="G137" s="650"/>
      <c r="M137" s="638"/>
      <c r="N137" s="660"/>
      <c r="O137" s="640"/>
      <c r="P137" s="650"/>
    </row>
    <row r="138" spans="1:16" ht="24" customHeight="1" thickBot="1" x14ac:dyDescent="0.25">
      <c r="A138" s="614"/>
      <c r="B138" s="645"/>
      <c r="C138" s="598"/>
      <c r="D138" s="602"/>
      <c r="E138" s="611"/>
      <c r="G138" s="652"/>
      <c r="M138" s="666"/>
      <c r="N138" s="598"/>
      <c r="O138" s="611"/>
      <c r="P138" s="650"/>
    </row>
    <row r="139" spans="1:16" ht="24" customHeight="1" thickBot="1" x14ac:dyDescent="0.25">
      <c r="A139" s="626"/>
      <c r="B139" s="613"/>
      <c r="C139" s="605"/>
      <c r="D139" s="1294"/>
      <c r="E139" s="1298"/>
      <c r="G139" s="650"/>
      <c r="M139" s="665"/>
    </row>
    <row r="140" spans="1:16" ht="24.75" customHeight="1" thickBot="1" x14ac:dyDescent="0.25">
      <c r="A140" s="623"/>
      <c r="B140" s="624"/>
      <c r="C140" s="606"/>
      <c r="D140" s="1295"/>
      <c r="E140" s="1288"/>
      <c r="G140" s="650"/>
    </row>
    <row r="141" spans="1:16" ht="24" customHeight="1" x14ac:dyDescent="0.2">
      <c r="A141" s="626"/>
      <c r="B141" s="613"/>
      <c r="C141" s="605"/>
      <c r="D141" s="1294"/>
      <c r="E141" s="1298"/>
      <c r="G141" s="650"/>
    </row>
    <row r="142" spans="1:16" ht="24" customHeight="1" thickBot="1" x14ac:dyDescent="0.25">
      <c r="A142" s="616"/>
      <c r="B142" s="625"/>
      <c r="C142" s="606"/>
      <c r="D142" s="1295"/>
      <c r="E142" s="1288"/>
      <c r="G142" s="650"/>
    </row>
    <row r="143" spans="1:16" ht="24" customHeight="1" x14ac:dyDescent="0.2">
      <c r="A143" s="626"/>
      <c r="B143" s="651"/>
      <c r="C143" s="605"/>
      <c r="D143" s="1294"/>
      <c r="E143" s="1298"/>
      <c r="G143" s="652"/>
    </row>
    <row r="144" spans="1:16" ht="24" customHeight="1" thickBot="1" x14ac:dyDescent="0.25">
      <c r="A144" s="623"/>
      <c r="B144" s="624"/>
      <c r="C144" s="606"/>
      <c r="D144" s="1295"/>
      <c r="E144" s="1288"/>
      <c r="G144" s="652"/>
    </row>
    <row r="145" spans="1:18" ht="24" customHeight="1" thickBot="1" x14ac:dyDescent="0.25">
      <c r="A145" s="1328"/>
      <c r="B145" s="651"/>
      <c r="C145" s="605"/>
      <c r="D145" s="653"/>
      <c r="E145" s="1298"/>
      <c r="G145" s="652"/>
      <c r="H145" s="1297"/>
      <c r="I145" s="1297"/>
      <c r="J145" s="1297"/>
      <c r="K145" s="1297"/>
      <c r="L145" s="1297"/>
    </row>
    <row r="146" spans="1:18" ht="24" customHeight="1" thickBot="1" x14ac:dyDescent="0.25">
      <c r="A146" s="1324"/>
      <c r="B146" s="624"/>
      <c r="C146" s="606"/>
      <c r="D146" s="628"/>
      <c r="E146" s="1288"/>
      <c r="G146" s="652"/>
      <c r="H146" s="1297"/>
      <c r="I146" s="1297"/>
      <c r="J146" s="1297"/>
      <c r="K146" s="1297"/>
      <c r="L146" s="1297"/>
      <c r="N146" s="719"/>
      <c r="O146" s="720"/>
    </row>
    <row r="147" spans="1:18" ht="24" customHeight="1" thickBot="1" x14ac:dyDescent="0.25">
      <c r="A147" s="614"/>
      <c r="B147" s="645"/>
      <c r="C147" s="662"/>
      <c r="D147" s="602"/>
      <c r="E147" s="1329"/>
      <c r="G147" s="652"/>
      <c r="M147" s="719"/>
      <c r="N147" s="598"/>
      <c r="O147" s="663"/>
      <c r="P147" s="652"/>
    </row>
    <row r="148" spans="1:18" ht="24" customHeight="1" thickBot="1" x14ac:dyDescent="0.25">
      <c r="A148" s="1326"/>
      <c r="B148" s="1327"/>
      <c r="C148" s="598"/>
      <c r="D148" s="602"/>
      <c r="E148" s="1330"/>
      <c r="G148" s="652"/>
      <c r="H148" s="641"/>
      <c r="I148" s="641"/>
      <c r="M148" s="638"/>
      <c r="N148" s="598"/>
      <c r="O148" s="664"/>
      <c r="P148" s="652"/>
    </row>
    <row r="149" spans="1:18" ht="24" customHeight="1" thickBot="1" x14ac:dyDescent="0.25">
      <c r="A149" s="1326"/>
      <c r="B149" s="1327"/>
      <c r="C149" s="598"/>
      <c r="D149" s="654"/>
      <c r="E149" s="1330"/>
      <c r="G149" s="600"/>
      <c r="H149" s="610"/>
      <c r="M149" s="638"/>
      <c r="N149" s="598"/>
      <c r="O149" s="639"/>
      <c r="P149" s="600"/>
    </row>
    <row r="150" spans="1:18" ht="24" customHeight="1" thickBot="1" x14ac:dyDescent="0.25">
      <c r="A150" s="623"/>
      <c r="B150" s="646"/>
      <c r="C150" s="598"/>
      <c r="D150" s="628"/>
      <c r="E150" s="1331"/>
      <c r="G150" s="600"/>
      <c r="H150" s="610"/>
      <c r="M150" s="638"/>
      <c r="N150" s="598"/>
      <c r="O150" s="630"/>
      <c r="P150" s="600"/>
    </row>
    <row r="151" spans="1:18" ht="24" customHeight="1" thickBot="1" x14ac:dyDescent="0.25">
      <c r="A151" s="657"/>
      <c r="B151" s="647"/>
      <c r="C151" s="598"/>
      <c r="D151" s="602"/>
      <c r="E151" s="1329"/>
      <c r="G151" s="600"/>
      <c r="M151" s="621"/>
      <c r="N151" s="598"/>
      <c r="O151" s="630"/>
      <c r="P151" s="718"/>
      <c r="Q151" s="701"/>
    </row>
    <row r="152" spans="1:18" ht="24" customHeight="1" thickBot="1" x14ac:dyDescent="0.25">
      <c r="A152" s="656"/>
      <c r="B152" s="655"/>
      <c r="C152" s="598"/>
      <c r="D152" s="602"/>
      <c r="E152" s="1330"/>
      <c r="G152" s="600"/>
      <c r="M152" s="621"/>
      <c r="N152" s="598"/>
      <c r="O152" s="630"/>
      <c r="P152" s="600"/>
    </row>
    <row r="153" spans="1:18" ht="24" customHeight="1" thickBot="1" x14ac:dyDescent="0.25">
      <c r="A153" s="657"/>
      <c r="B153" s="619"/>
      <c r="C153" s="598"/>
      <c r="D153" s="654"/>
      <c r="E153" s="1331"/>
      <c r="G153" s="600"/>
      <c r="M153" s="621"/>
      <c r="N153" s="598"/>
      <c r="O153" s="639"/>
      <c r="P153" s="600"/>
    </row>
    <row r="154" spans="1:18" ht="24" customHeight="1" thickBot="1" x14ac:dyDescent="0.25">
      <c r="A154" s="626"/>
      <c r="B154" s="647"/>
      <c r="C154" s="605"/>
      <c r="D154" s="1294"/>
      <c r="E154" s="1298"/>
      <c r="G154" s="600"/>
      <c r="M154" s="621"/>
      <c r="N154" s="598"/>
      <c r="O154" s="630"/>
      <c r="P154" s="600"/>
    </row>
    <row r="155" spans="1:18" ht="24" customHeight="1" thickBot="1" x14ac:dyDescent="0.25">
      <c r="A155" s="623"/>
      <c r="B155" s="646"/>
      <c r="C155" s="606"/>
      <c r="D155" s="1295"/>
      <c r="E155" s="1288"/>
      <c r="G155" s="600"/>
      <c r="M155" s="621"/>
      <c r="N155" s="598"/>
      <c r="O155" s="640"/>
      <c r="P155" s="600"/>
    </row>
    <row r="156" spans="1:18" ht="24" customHeight="1" thickBot="1" x14ac:dyDescent="0.25">
      <c r="A156" s="626"/>
      <c r="B156" s="658"/>
      <c r="C156" s="605"/>
      <c r="D156" s="1294"/>
      <c r="E156" s="1298"/>
      <c r="G156" s="600"/>
      <c r="M156" s="608"/>
      <c r="N156" s="598"/>
      <c r="O156" s="611"/>
      <c r="P156" s="600"/>
      <c r="R156" s="701"/>
    </row>
    <row r="157" spans="1:18" ht="24" customHeight="1" thickBot="1" x14ac:dyDescent="0.25">
      <c r="A157" s="623"/>
      <c r="B157" s="646"/>
      <c r="C157" s="606"/>
      <c r="D157" s="1295"/>
      <c r="E157" s="1288"/>
      <c r="G157" s="600"/>
      <c r="M157" s="621"/>
    </row>
    <row r="158" spans="1:18" ht="24" customHeight="1" x14ac:dyDescent="0.2">
      <c r="A158" s="626"/>
      <c r="B158" s="647"/>
      <c r="C158" s="605"/>
      <c r="D158" s="1294"/>
      <c r="E158" s="1298"/>
      <c r="G158" s="600"/>
      <c r="N158" s="642"/>
      <c r="O158" s="581"/>
    </row>
    <row r="159" spans="1:18" ht="24" customHeight="1" thickBot="1" x14ac:dyDescent="0.25">
      <c r="A159" s="623"/>
      <c r="B159" s="646"/>
      <c r="C159" s="606"/>
      <c r="D159" s="1295"/>
      <c r="E159" s="1288"/>
      <c r="G159" s="600"/>
      <c r="M159" s="641"/>
    </row>
    <row r="160" spans="1:18" ht="24" customHeight="1" x14ac:dyDescent="0.2">
      <c r="A160" s="648"/>
      <c r="B160" s="649"/>
      <c r="C160" s="599"/>
      <c r="D160" s="1318"/>
      <c r="E160" s="1287"/>
      <c r="G160" s="600"/>
    </row>
    <row r="161" spans="1:12" ht="24" customHeight="1" thickBot="1" x14ac:dyDescent="0.25">
      <c r="A161" s="623"/>
      <c r="B161" s="646"/>
      <c r="C161" s="606"/>
      <c r="D161" s="1295"/>
      <c r="E161" s="1288"/>
      <c r="G161" s="600"/>
    </row>
    <row r="162" spans="1:12" ht="24" customHeight="1" x14ac:dyDescent="0.2">
      <c r="A162" s="626"/>
      <c r="B162" s="647"/>
      <c r="C162" s="605"/>
      <c r="D162" s="1294"/>
      <c r="E162" s="1298"/>
      <c r="G162" s="600"/>
    </row>
    <row r="163" spans="1:12" ht="24" customHeight="1" thickBot="1" x14ac:dyDescent="0.25">
      <c r="A163" s="623"/>
      <c r="B163" s="646"/>
      <c r="C163" s="606"/>
      <c r="D163" s="1295"/>
      <c r="E163" s="1288"/>
      <c r="G163" s="600"/>
      <c r="H163" s="1297"/>
      <c r="I163" s="1297"/>
      <c r="J163" s="1297"/>
      <c r="K163" s="1297"/>
      <c r="L163" s="1297"/>
    </row>
    <row r="164" spans="1:12" ht="24" customHeight="1" thickBot="1" x14ac:dyDescent="0.25">
      <c r="A164" s="626"/>
      <c r="B164" s="613"/>
      <c r="C164" s="605"/>
      <c r="D164" s="1294"/>
      <c r="E164" s="1298"/>
      <c r="G164" s="600"/>
      <c r="H164" s="1297"/>
      <c r="I164" s="1297"/>
      <c r="J164" s="1297"/>
      <c r="K164" s="1297"/>
      <c r="L164" s="1297"/>
    </row>
    <row r="165" spans="1:12" ht="24.75" customHeight="1" x14ac:dyDescent="0.2">
      <c r="A165" s="1322"/>
      <c r="B165" s="1323"/>
      <c r="C165" s="599"/>
      <c r="D165" s="1294"/>
      <c r="E165" s="1298"/>
      <c r="G165" s="600"/>
      <c r="H165" s="1302"/>
      <c r="I165" s="1302"/>
      <c r="J165" s="1302"/>
      <c r="K165" s="1302"/>
      <c r="L165" s="1302"/>
    </row>
    <row r="166" spans="1:12" ht="24" customHeight="1" thickBot="1" x14ac:dyDescent="0.25">
      <c r="A166" s="1320"/>
      <c r="B166" s="1321"/>
      <c r="C166" s="606"/>
      <c r="D166" s="1295"/>
      <c r="E166" s="1288"/>
      <c r="G166" s="600"/>
    </row>
    <row r="167" spans="1:12" ht="24" customHeight="1" x14ac:dyDescent="0.2">
      <c r="A167" s="626"/>
      <c r="B167" s="613"/>
      <c r="C167" s="1289"/>
      <c r="D167" s="1294"/>
      <c r="E167" s="630"/>
    </row>
    <row r="168" spans="1:12" ht="24" customHeight="1" thickBot="1" x14ac:dyDescent="0.25">
      <c r="A168" s="623"/>
      <c r="B168" s="624"/>
      <c r="C168" s="1291"/>
      <c r="D168" s="1295"/>
      <c r="E168" s="627"/>
    </row>
    <row r="169" spans="1:12" ht="24" customHeight="1" thickBot="1" x14ac:dyDescent="0.25">
      <c r="A169" s="614"/>
      <c r="B169" s="645"/>
      <c r="C169" s="598"/>
      <c r="D169" s="602"/>
      <c r="E169" s="611"/>
    </row>
    <row r="170" spans="1:12" ht="16.5" thickBot="1" x14ac:dyDescent="0.25">
      <c r="A170" s="623"/>
      <c r="B170" s="624"/>
      <c r="C170" s="606"/>
      <c r="D170" s="628"/>
      <c r="E170" s="627"/>
    </row>
    <row r="171" spans="1:12" ht="16.5" thickBot="1" x14ac:dyDescent="0.25">
      <c r="A171" s="614"/>
      <c r="B171" s="619"/>
      <c r="C171" s="598"/>
      <c r="D171" s="602"/>
      <c r="E171" s="611"/>
    </row>
    <row r="172" spans="1:12" ht="16.5" thickBot="1" x14ac:dyDescent="0.25">
      <c r="A172" s="614"/>
      <c r="B172" s="619"/>
      <c r="C172" s="598"/>
      <c r="D172" s="602"/>
      <c r="E172" s="611"/>
    </row>
    <row r="173" spans="1:12" ht="16.5" thickBot="1" x14ac:dyDescent="0.25">
      <c r="A173" s="609"/>
      <c r="B173" s="608"/>
      <c r="C173" s="617"/>
      <c r="D173" s="615"/>
      <c r="E173" s="629"/>
    </row>
    <row r="174" spans="1:12" ht="15" x14ac:dyDescent="0.2">
      <c r="A174" s="635"/>
      <c r="B174" s="632"/>
      <c r="C174" s="605"/>
      <c r="D174" s="1294"/>
      <c r="E174" s="1298"/>
    </row>
    <row r="175" spans="1:12" ht="15" x14ac:dyDescent="0.2">
      <c r="A175" s="637"/>
      <c r="B175" s="636"/>
      <c r="C175" s="599"/>
      <c r="D175" s="1318"/>
      <c r="E175" s="1287"/>
    </row>
    <row r="176" spans="1:12" ht="15.75" thickBot="1" x14ac:dyDescent="0.25">
      <c r="A176" s="633"/>
      <c r="B176" s="634"/>
      <c r="C176" s="606"/>
      <c r="D176" s="1295"/>
      <c r="E176" s="1288"/>
    </row>
    <row r="177" spans="1:5" ht="15" x14ac:dyDescent="0.2">
      <c r="A177" s="618"/>
      <c r="B177" s="631"/>
      <c r="C177" s="599"/>
      <c r="D177" s="1318"/>
      <c r="E177" s="1287"/>
    </row>
    <row r="178" spans="1:5" ht="15.75" thickBot="1" x14ac:dyDescent="0.25">
      <c r="A178" s="607"/>
      <c r="B178" s="603"/>
      <c r="C178" s="606"/>
      <c r="D178" s="1295"/>
      <c r="E178" s="1288"/>
    </row>
    <row r="179" spans="1:5" ht="15" x14ac:dyDescent="0.2">
      <c r="A179" s="604"/>
      <c r="B179" s="608"/>
      <c r="C179" s="599"/>
      <c r="D179" s="1294"/>
      <c r="E179" s="1298"/>
    </row>
    <row r="180" spans="1:5" ht="15.75" thickBot="1" x14ac:dyDescent="0.25">
      <c r="A180" s="609"/>
      <c r="B180" s="608"/>
      <c r="C180" s="606"/>
      <c r="D180" s="1295"/>
      <c r="E180" s="1288"/>
    </row>
    <row r="181" spans="1:5" ht="16.5" thickBot="1" x14ac:dyDescent="0.25">
      <c r="A181" s="622"/>
      <c r="B181" s="621"/>
      <c r="C181" s="598"/>
      <c r="D181" s="602"/>
      <c r="E181" s="620"/>
    </row>
  </sheetData>
  <mergeCells count="161">
    <mergeCell ref="P64:P65"/>
    <mergeCell ref="Q64:Q65"/>
    <mergeCell ref="P66:P67"/>
    <mergeCell ref="Q66:Q67"/>
    <mergeCell ref="N68:Q69"/>
    <mergeCell ref="H163:L164"/>
    <mergeCell ref="H145:L146"/>
    <mergeCell ref="O99:O100"/>
    <mergeCell ref="H133:J133"/>
    <mergeCell ref="O101:O102"/>
    <mergeCell ref="O97:O98"/>
    <mergeCell ref="E179:E180"/>
    <mergeCell ref="D177:D178"/>
    <mergeCell ref="E177:E178"/>
    <mergeCell ref="D179:D180"/>
    <mergeCell ref="E104:E105"/>
    <mergeCell ref="E156:E157"/>
    <mergeCell ref="D156:D157"/>
    <mergeCell ref="E139:E140"/>
    <mergeCell ref="D143:D144"/>
    <mergeCell ref="E147:E150"/>
    <mergeCell ref="E154:E155"/>
    <mergeCell ref="E141:E142"/>
    <mergeCell ref="D174:D176"/>
    <mergeCell ref="E174:E176"/>
    <mergeCell ref="D162:D163"/>
    <mergeCell ref="D160:D161"/>
    <mergeCell ref="D164:D166"/>
    <mergeCell ref="E158:E159"/>
    <mergeCell ref="D126:D127"/>
    <mergeCell ref="E133:E134"/>
    <mergeCell ref="A166:B166"/>
    <mergeCell ref="A165:B165"/>
    <mergeCell ref="E143:E144"/>
    <mergeCell ref="E162:E163"/>
    <mergeCell ref="D158:D159"/>
    <mergeCell ref="E160:E161"/>
    <mergeCell ref="E164:E166"/>
    <mergeCell ref="A105:B105"/>
    <mergeCell ref="D100:D101"/>
    <mergeCell ref="E100:E101"/>
    <mergeCell ref="D133:D134"/>
    <mergeCell ref="A149:B149"/>
    <mergeCell ref="A148:B148"/>
    <mergeCell ref="A145:A146"/>
    <mergeCell ref="D154:D155"/>
    <mergeCell ref="D139:D140"/>
    <mergeCell ref="D124:D125"/>
    <mergeCell ref="D119:D120"/>
    <mergeCell ref="E119:E120"/>
    <mergeCell ref="D104:D105"/>
    <mergeCell ref="D141:D142"/>
    <mergeCell ref="E151:E153"/>
    <mergeCell ref="E145:E146"/>
    <mergeCell ref="D129:D131"/>
    <mergeCell ref="C167:C168"/>
    <mergeCell ref="D167:D168"/>
    <mergeCell ref="H165:L165"/>
    <mergeCell ref="H125:L125"/>
    <mergeCell ref="I124:L124"/>
    <mergeCell ref="H120:L120"/>
    <mergeCell ref="H80:I80"/>
    <mergeCell ref="A2:AH2"/>
    <mergeCell ref="H4:I4"/>
    <mergeCell ref="S3:S4"/>
    <mergeCell ref="N3:Q3"/>
    <mergeCell ref="U3:Y3"/>
    <mergeCell ref="D95:D97"/>
    <mergeCell ref="E92:E94"/>
    <mergeCell ref="D92:D94"/>
    <mergeCell ref="N89:N92"/>
    <mergeCell ref="C92:C94"/>
    <mergeCell ref="E75:E79"/>
    <mergeCell ref="D85:D86"/>
    <mergeCell ref="D87:D88"/>
    <mergeCell ref="D80:D82"/>
    <mergeCell ref="G67:H67"/>
    <mergeCell ref="N71:U71"/>
    <mergeCell ref="G76:H76"/>
    <mergeCell ref="C75:C79"/>
    <mergeCell ref="M87:M88"/>
    <mergeCell ref="E129:E131"/>
    <mergeCell ref="C95:C97"/>
    <mergeCell ref="E87:E88"/>
    <mergeCell ref="D83:D84"/>
    <mergeCell ref="N86:N87"/>
    <mergeCell ref="G77:H77"/>
    <mergeCell ref="G68:H68"/>
    <mergeCell ref="E126:E127"/>
    <mergeCell ref="E124:E125"/>
    <mergeCell ref="E121:E122"/>
    <mergeCell ref="D121:D122"/>
    <mergeCell ref="D114:D115"/>
    <mergeCell ref="E114:E115"/>
    <mergeCell ref="E116:E117"/>
    <mergeCell ref="D116:D117"/>
    <mergeCell ref="H79:I79"/>
    <mergeCell ref="E85:E86"/>
    <mergeCell ref="E80:E82"/>
    <mergeCell ref="E83:E84"/>
    <mergeCell ref="D90:D91"/>
    <mergeCell ref="E90:E91"/>
    <mergeCell ref="P5:P6"/>
    <mergeCell ref="Q5:Q6"/>
    <mergeCell ref="P7:P8"/>
    <mergeCell ref="Q7:Q8"/>
    <mergeCell ref="P9:P10"/>
    <mergeCell ref="Q9:Q10"/>
    <mergeCell ref="P11:P12"/>
    <mergeCell ref="Q11:Q12"/>
    <mergeCell ref="P13:P14"/>
    <mergeCell ref="Q13:Q14"/>
    <mergeCell ref="P15:P16"/>
    <mergeCell ref="Q15:Q16"/>
    <mergeCell ref="P17:P18"/>
    <mergeCell ref="Q17:Q18"/>
    <mergeCell ref="P19:P20"/>
    <mergeCell ref="Q19:Q20"/>
    <mergeCell ref="P21:P22"/>
    <mergeCell ref="Q21:Q22"/>
    <mergeCell ref="P23:P24"/>
    <mergeCell ref="Q23:Q24"/>
    <mergeCell ref="P25:P26"/>
    <mergeCell ref="Q25:Q26"/>
    <mergeCell ref="P27:P28"/>
    <mergeCell ref="Q27:Q28"/>
    <mergeCell ref="P29:P30"/>
    <mergeCell ref="Q29:Q30"/>
    <mergeCell ref="P31:P32"/>
    <mergeCell ref="Q31:Q32"/>
    <mergeCell ref="N33:Q33"/>
    <mergeCell ref="P34:P35"/>
    <mergeCell ref="Q34:Q35"/>
    <mergeCell ref="P36:P37"/>
    <mergeCell ref="Q36:Q37"/>
    <mergeCell ref="P38:P39"/>
    <mergeCell ref="Q38:Q39"/>
    <mergeCell ref="P40:P41"/>
    <mergeCell ref="Q40:Q41"/>
    <mergeCell ref="P42:P43"/>
    <mergeCell ref="Q42:Q43"/>
    <mergeCell ref="P44:P45"/>
    <mergeCell ref="Q44:Q45"/>
    <mergeCell ref="P46:P47"/>
    <mergeCell ref="Q46:Q47"/>
    <mergeCell ref="P48:P49"/>
    <mergeCell ref="Q48:Q49"/>
    <mergeCell ref="P50:P51"/>
    <mergeCell ref="Q50:Q51"/>
    <mergeCell ref="P52:P53"/>
    <mergeCell ref="Q52:Q53"/>
    <mergeCell ref="P54:P55"/>
    <mergeCell ref="Q54:Q55"/>
    <mergeCell ref="P56:P57"/>
    <mergeCell ref="Q56:Q57"/>
    <mergeCell ref="P58:P59"/>
    <mergeCell ref="Q58:Q59"/>
    <mergeCell ref="P60:P61"/>
    <mergeCell ref="Q60:Q61"/>
    <mergeCell ref="P62:P63"/>
    <mergeCell ref="Q62:Q63"/>
  </mergeCells>
  <phoneticPr fontId="52" type="noConversion"/>
  <pageMargins left="0.7" right="0.7" top="0.75" bottom="0.75" header="0.3" footer="0.3"/>
  <pageSetup paperSize="9" scale="17" orientation="portrait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F9"/>
  <sheetViews>
    <sheetView workbookViewId="0">
      <selection activeCell="E32" sqref="E32"/>
    </sheetView>
  </sheetViews>
  <sheetFormatPr defaultRowHeight="12.75" x14ac:dyDescent="0.2"/>
  <cols>
    <col min="1" max="1" width="16.5703125" customWidth="1"/>
    <col min="3" max="3" width="13.5703125" customWidth="1"/>
    <col min="4" max="4" width="15" customWidth="1"/>
    <col min="5" max="5" width="16" customWidth="1"/>
    <col min="6" max="6" width="13" customWidth="1"/>
  </cols>
  <sheetData>
    <row r="1" spans="1:6" ht="13.5" thickBot="1" x14ac:dyDescent="0.25">
      <c r="A1" s="1340" t="s">
        <v>127</v>
      </c>
      <c r="B1" s="1341"/>
      <c r="C1" s="1341"/>
      <c r="D1" s="1341"/>
      <c r="E1" s="1341"/>
      <c r="F1" s="1342"/>
    </row>
    <row r="2" spans="1:6" x14ac:dyDescent="0.2">
      <c r="A2" s="586" t="s">
        <v>33</v>
      </c>
      <c r="B2" s="587" t="s">
        <v>17</v>
      </c>
      <c r="C2" s="587" t="s">
        <v>34</v>
      </c>
      <c r="D2" s="587" t="s">
        <v>128</v>
      </c>
      <c r="E2" s="587" t="s">
        <v>129</v>
      </c>
      <c r="F2" s="588" t="s">
        <v>132</v>
      </c>
    </row>
    <row r="3" spans="1:6" x14ac:dyDescent="0.2">
      <c r="A3" s="589" t="s">
        <v>70</v>
      </c>
      <c r="B3" s="584">
        <v>3137252</v>
      </c>
      <c r="C3" s="590" t="s">
        <v>97</v>
      </c>
      <c r="D3" s="585">
        <v>43115</v>
      </c>
      <c r="E3" s="590" t="s">
        <v>130</v>
      </c>
      <c r="F3" s="591" t="s">
        <v>133</v>
      </c>
    </row>
    <row r="4" spans="1:6" ht="18.75" x14ac:dyDescent="0.2">
      <c r="A4" s="593"/>
      <c r="B4" s="593"/>
      <c r="C4" s="593"/>
      <c r="D4" s="593"/>
      <c r="E4" s="593"/>
      <c r="F4" s="593"/>
    </row>
    <row r="8" spans="1:6" ht="18.75" x14ac:dyDescent="0.2">
      <c r="A8" s="592" t="s">
        <v>134</v>
      </c>
      <c r="B8" s="592"/>
      <c r="C8" s="592"/>
      <c r="D8" s="592"/>
      <c r="E8" s="592"/>
      <c r="F8" s="592"/>
    </row>
    <row r="9" spans="1:6" ht="18.75" x14ac:dyDescent="0.2">
      <c r="A9" s="1174" t="s">
        <v>131</v>
      </c>
      <c r="B9" s="1174"/>
      <c r="C9" s="1174"/>
      <c r="D9" s="1174"/>
      <c r="E9" s="1174"/>
      <c r="F9" s="1174"/>
    </row>
  </sheetData>
  <mergeCells count="2">
    <mergeCell ref="A1:F1"/>
    <mergeCell ref="A9:F9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"/>
  <sheetViews>
    <sheetView workbookViewId="0"/>
  </sheetViews>
  <sheetFormatPr defaultRowHeight="12.75" x14ac:dyDescent="0.2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4</vt:i4>
      </vt:variant>
    </vt:vector>
  </HeadingPairs>
  <TitlesOfParts>
    <vt:vector size="16" baseType="lpstr">
      <vt:lpstr>PRONTIDÃO</vt:lpstr>
      <vt:lpstr>ESCALA  ORIGINAL </vt:lpstr>
      <vt:lpstr>Plan2</vt:lpstr>
      <vt:lpstr>PRONTIDÃO DGP RH </vt:lpstr>
      <vt:lpstr>AUTOTANQUE</vt:lpstr>
      <vt:lpstr>Plan1</vt:lpstr>
      <vt:lpstr>ESCALA CONTROLE DRH</vt:lpstr>
      <vt:lpstr>EFETIVO</vt:lpstr>
      <vt:lpstr>ALMOX, MERG, SALVAMAR</vt:lpstr>
      <vt:lpstr>Modelo Aviso - Especial</vt:lpstr>
      <vt:lpstr>PDF</vt:lpstr>
      <vt:lpstr>Plan3</vt:lpstr>
      <vt:lpstr>'ALMOX, MERG, SALVAMAR'!Area_de_impressao</vt:lpstr>
      <vt:lpstr>'ESCALA  ORIGINAL '!Area_de_impressao</vt:lpstr>
      <vt:lpstr>PRONTIDÃO!Area_de_impressao</vt:lpstr>
      <vt:lpstr>'PRONTIDÃO DGP RH '!Area_de_impressao</vt:lpstr>
    </vt:vector>
  </TitlesOfParts>
  <Company>Infraero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LARANJEIRA</dc:creator>
  <cp:lastModifiedBy>DANIEL DE AMORIM MATTOS</cp:lastModifiedBy>
  <cp:lastPrinted>2023-11-07T14:29:00Z</cp:lastPrinted>
  <dcterms:created xsi:type="dcterms:W3CDTF">2006-11-27T19:42:38Z</dcterms:created>
  <dcterms:modified xsi:type="dcterms:W3CDTF">2026-04-27T19:02:01Z</dcterms:modified>
</cp:coreProperties>
</file>